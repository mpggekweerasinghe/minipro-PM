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ser\Desktop\3rd year\EEX5362\deliverable\"/>
    </mc:Choice>
  </mc:AlternateContent>
  <bookViews>
    <workbookView xWindow="0" yWindow="0" windowWidth="20490" windowHeight="7905" activeTab="2"/>
  </bookViews>
  <sheets>
    <sheet name="Farmers" sheetId="1" r:id="rId1"/>
    <sheet name="Docks" sheetId="2" r:id="rId2"/>
    <sheet name="Event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3" l="1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L7" i="2"/>
  <c r="D23" i="2"/>
  <c r="D24" i="2"/>
  <c r="D25" i="2"/>
  <c r="D26" i="2"/>
  <c r="D27" i="2"/>
  <c r="D28" i="2"/>
  <c r="D29" i="2"/>
  <c r="D30" i="2"/>
  <c r="D31" i="2"/>
  <c r="D32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4" i="2"/>
  <c r="D5" i="2"/>
  <c r="D6" i="2"/>
  <c r="D3" i="2"/>
</calcChain>
</file>

<file path=xl/sharedStrings.xml><?xml version="1.0" encoding="utf-8"?>
<sst xmlns="http://schemas.openxmlformats.org/spreadsheetml/2006/main" count="356" uniqueCount="156">
  <si>
    <t>Farmer id</t>
  </si>
  <si>
    <t>Arrival time</t>
  </si>
  <si>
    <t>Date</t>
  </si>
  <si>
    <t>Estimated load(Kg)</t>
  </si>
  <si>
    <t>Preferred dock</t>
  </si>
  <si>
    <t>F001</t>
  </si>
  <si>
    <t>F002</t>
  </si>
  <si>
    <t>F003</t>
  </si>
  <si>
    <t>F004</t>
  </si>
  <si>
    <t>F005</t>
  </si>
  <si>
    <t>F006</t>
  </si>
  <si>
    <t>F007</t>
  </si>
  <si>
    <t>F008</t>
  </si>
  <si>
    <t>F009</t>
  </si>
  <si>
    <t>F010</t>
  </si>
  <si>
    <t>F011</t>
  </si>
  <si>
    <t>F012</t>
  </si>
  <si>
    <t>F013</t>
  </si>
  <si>
    <t>F014</t>
  </si>
  <si>
    <t>F015</t>
  </si>
  <si>
    <t>F016</t>
  </si>
  <si>
    <t>F017</t>
  </si>
  <si>
    <t>F018</t>
  </si>
  <si>
    <t>F019</t>
  </si>
  <si>
    <t>F020</t>
  </si>
  <si>
    <t>20-10-2025</t>
  </si>
  <si>
    <t>23-10-2025</t>
  </si>
  <si>
    <t xml:space="preserve">5.45 a.m. </t>
  </si>
  <si>
    <t>5.50 a.m.</t>
  </si>
  <si>
    <t>6.10 a.m.</t>
  </si>
  <si>
    <t>6.25 a.m.</t>
  </si>
  <si>
    <t>6.30 a.m.</t>
  </si>
  <si>
    <t>6.15 a.m.</t>
  </si>
  <si>
    <t xml:space="preserve">6.30 a.m. </t>
  </si>
  <si>
    <t>6.27 a.m.</t>
  </si>
  <si>
    <t>5.20 a.m.</t>
  </si>
  <si>
    <t>5.30 a.m.</t>
  </si>
  <si>
    <t>5.37 a.m.</t>
  </si>
  <si>
    <t>5.40 a.m.</t>
  </si>
  <si>
    <t>6.40 a.m.</t>
  </si>
  <si>
    <t>6.45 a.m.</t>
  </si>
  <si>
    <t>6.55 a.m.</t>
  </si>
  <si>
    <t>7.00 a.m.</t>
  </si>
  <si>
    <t>7.05 a.m.</t>
  </si>
  <si>
    <t>D02</t>
  </si>
  <si>
    <t>D05</t>
  </si>
  <si>
    <t>D01</t>
  </si>
  <si>
    <t>D09</t>
  </si>
  <si>
    <t>D21</t>
  </si>
  <si>
    <t>D03</t>
  </si>
  <si>
    <t>D04</t>
  </si>
  <si>
    <t>D07</t>
  </si>
  <si>
    <t>D15</t>
  </si>
  <si>
    <t>D26</t>
  </si>
  <si>
    <t>D30</t>
  </si>
  <si>
    <t>D18</t>
  </si>
  <si>
    <t>D11</t>
  </si>
  <si>
    <t>D10</t>
  </si>
  <si>
    <t>D08</t>
  </si>
  <si>
    <t>D06</t>
  </si>
  <si>
    <t>D16</t>
  </si>
  <si>
    <t>Dock id</t>
  </si>
  <si>
    <t>Status</t>
  </si>
  <si>
    <t xml:space="preserve">Day </t>
  </si>
  <si>
    <t xml:space="preserve">Day 01 </t>
  </si>
  <si>
    <t>Day 02</t>
  </si>
  <si>
    <t>Day 03</t>
  </si>
  <si>
    <t>Day 04</t>
  </si>
  <si>
    <t>D12</t>
  </si>
  <si>
    <t>D13</t>
  </si>
  <si>
    <t>D14</t>
  </si>
  <si>
    <t>D17</t>
  </si>
  <si>
    <t>D19</t>
  </si>
  <si>
    <t>D20</t>
  </si>
  <si>
    <t>D22</t>
  </si>
  <si>
    <t>D23</t>
  </si>
  <si>
    <t>D24</t>
  </si>
  <si>
    <t>D25</t>
  </si>
  <si>
    <t>D27</t>
  </si>
  <si>
    <t>D28</t>
  </si>
  <si>
    <t>D29</t>
  </si>
  <si>
    <t xml:space="preserve">Total workers </t>
  </si>
  <si>
    <t>Accountants</t>
  </si>
  <si>
    <t>Total</t>
  </si>
  <si>
    <t>Day 01</t>
  </si>
  <si>
    <t>Labours</t>
  </si>
  <si>
    <t>Active</t>
  </si>
  <si>
    <t>No</t>
  </si>
  <si>
    <t>Total Active docks</t>
  </si>
  <si>
    <t>Event id</t>
  </si>
  <si>
    <t>Start Service time</t>
  </si>
  <si>
    <t>End service time</t>
  </si>
  <si>
    <t>Wait minutes</t>
  </si>
  <si>
    <t>Service minutes</t>
  </si>
  <si>
    <t>Queue length</t>
  </si>
  <si>
    <t xml:space="preserve">Dock id </t>
  </si>
  <si>
    <t>E001</t>
  </si>
  <si>
    <t>E002</t>
  </si>
  <si>
    <t>E003</t>
  </si>
  <si>
    <t>E004</t>
  </si>
  <si>
    <t>E005</t>
  </si>
  <si>
    <t>E006</t>
  </si>
  <si>
    <t>E007</t>
  </si>
  <si>
    <t>E008</t>
  </si>
  <si>
    <t>E009</t>
  </si>
  <si>
    <t>E010</t>
  </si>
  <si>
    <t>E011</t>
  </si>
  <si>
    <t>E012</t>
  </si>
  <si>
    <t>E013</t>
  </si>
  <si>
    <t>E014</t>
  </si>
  <si>
    <t>E015</t>
  </si>
  <si>
    <t>E016</t>
  </si>
  <si>
    <t>E017</t>
  </si>
  <si>
    <t>E018</t>
  </si>
  <si>
    <t>E019</t>
  </si>
  <si>
    <t>E020</t>
  </si>
  <si>
    <t>Day</t>
  </si>
  <si>
    <t xml:space="preserve">No </t>
  </si>
  <si>
    <t>7.40 a.m</t>
  </si>
  <si>
    <t>7.00 a.m</t>
  </si>
  <si>
    <t>7.50 a.m</t>
  </si>
  <si>
    <t>6.35 a.m</t>
  </si>
  <si>
    <t>7.10 a.m</t>
  </si>
  <si>
    <t>7.25 a.m</t>
  </si>
  <si>
    <t>7.30 a.m</t>
  </si>
  <si>
    <t xml:space="preserve">7.45 a.m </t>
  </si>
  <si>
    <t>6.15 a.m</t>
  </si>
  <si>
    <t>6.40 a.m</t>
  </si>
  <si>
    <t xml:space="preserve">6.40 a.m </t>
  </si>
  <si>
    <t>8.10 a.m</t>
  </si>
  <si>
    <t xml:space="preserve">8.15 a.m </t>
  </si>
  <si>
    <t>6.45 a.m</t>
  </si>
  <si>
    <t xml:space="preserve">6.50 a.m </t>
  </si>
  <si>
    <t xml:space="preserve">7.55 a.m. </t>
  </si>
  <si>
    <t>8.20 a.m</t>
  </si>
  <si>
    <t>8.50 a.m</t>
  </si>
  <si>
    <t>8.15 a.m</t>
  </si>
  <si>
    <t>8.30 a.m</t>
  </si>
  <si>
    <t>6.55 a.m</t>
  </si>
  <si>
    <t xml:space="preserve">8.35 a.m </t>
  </si>
  <si>
    <t>Avg wait (min)</t>
  </si>
  <si>
    <t>Day 1</t>
  </si>
  <si>
    <t>Day 2</t>
  </si>
  <si>
    <t>Day 3</t>
  </si>
  <si>
    <t>Day 4</t>
  </si>
  <si>
    <t>Avg queue length (Per dock)</t>
  </si>
  <si>
    <t>26-10-2025</t>
  </si>
  <si>
    <t>28-10-2025</t>
  </si>
  <si>
    <t xml:space="preserve">7.30 a.m. </t>
  </si>
  <si>
    <t>8.25 a.m</t>
  </si>
  <si>
    <t xml:space="preserve">7.35 a.m </t>
  </si>
  <si>
    <t>8.55 a.m</t>
  </si>
  <si>
    <t>8.40 a.m</t>
  </si>
  <si>
    <t>8.05 a.m</t>
  </si>
  <si>
    <t>9.20 a.m</t>
  </si>
  <si>
    <t>7.55 a.m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</si>
</sst>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409]d\-mmm\-yy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164" fontId="0" fillId="0" borderId="0" xfId="0" applyNumberFormat="1"/>
    <xf numFmtId="0" fontId="0" fillId="0" borderId="1" xfId="0" applyBorder="1"/>
    <xf numFmtId="0" fontId="0" fillId="0" borderId="0" xfId="0" applyBorder="1"/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0" borderId="5" xfId="0" applyBorder="1"/>
    <xf numFmtId="164" fontId="0" fillId="0" borderId="0" xfId="0" applyNumberFormat="1" applyBorder="1"/>
    <xf numFmtId="164" fontId="0" fillId="0" borderId="1" xfId="0" applyNumberFormat="1" applyBorder="1"/>
    <xf numFmtId="164" fontId="0" fillId="0" borderId="2" xfId="0" applyNumberFormat="1" applyBorder="1"/>
    <xf numFmtId="0" fontId="1" fillId="0" borderId="1" xfId="0" applyFont="1" applyBorder="1"/>
    <xf numFmtId="164" fontId="1" fillId="0" borderId="1" xfId="0" applyNumberFormat="1" applyFont="1" applyBorder="1"/>
    <xf numFmtId="0" fontId="1" fillId="0" borderId="0" xfId="0" applyFont="1" applyBorder="1"/>
    <xf numFmtId="0" fontId="1" fillId="0" borderId="3" xfId="0" applyFont="1" applyBorder="1"/>
    <xf numFmtId="0" fontId="0" fillId="0" borderId="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"/>
  <sheetViews>
    <sheetView workbookViewId="0">
      <selection activeCell="I16" sqref="I16"/>
    </sheetView>
  </sheetViews>
  <sheetFormatPr defaultRowHeight="15" x14ac:dyDescent="0.25"/>
  <cols>
    <col min="1" max="1" width="10.140625" customWidth="1"/>
    <col min="2" max="2" width="6.5703125" customWidth="1"/>
    <col min="3" max="3" width="14.140625" style="1" customWidth="1"/>
    <col min="4" max="4" width="14.140625" customWidth="1"/>
    <col min="5" max="5" width="17.85546875" customWidth="1"/>
    <col min="6" max="6" width="15.42578125" customWidth="1"/>
  </cols>
  <sheetData>
    <row r="1" spans="1:6" x14ac:dyDescent="0.25">
      <c r="A1" s="11" t="s">
        <v>0</v>
      </c>
      <c r="B1" s="11" t="s">
        <v>63</v>
      </c>
      <c r="C1" s="12" t="s">
        <v>2</v>
      </c>
      <c r="D1" s="11" t="s">
        <v>1</v>
      </c>
      <c r="E1" s="11" t="s">
        <v>3</v>
      </c>
      <c r="F1" s="11" t="s">
        <v>4</v>
      </c>
    </row>
    <row r="2" spans="1:6" x14ac:dyDescent="0.25">
      <c r="A2" s="3" t="s">
        <v>5</v>
      </c>
      <c r="B2" s="15" t="s">
        <v>64</v>
      </c>
      <c r="C2" s="8" t="s">
        <v>25</v>
      </c>
      <c r="D2" s="3" t="s">
        <v>27</v>
      </c>
      <c r="E2" s="3">
        <v>780</v>
      </c>
      <c r="F2" s="3" t="s">
        <v>45</v>
      </c>
    </row>
    <row r="3" spans="1:6" x14ac:dyDescent="0.25">
      <c r="A3" s="3" t="s">
        <v>6</v>
      </c>
      <c r="B3" s="15"/>
      <c r="C3" s="8" t="s">
        <v>25</v>
      </c>
      <c r="D3" s="3" t="s">
        <v>28</v>
      </c>
      <c r="E3" s="3">
        <v>820</v>
      </c>
      <c r="F3" s="3" t="s">
        <v>46</v>
      </c>
    </row>
    <row r="4" spans="1:6" x14ac:dyDescent="0.25">
      <c r="A4" s="3" t="s">
        <v>7</v>
      </c>
      <c r="B4" s="15"/>
      <c r="C4" s="8" t="s">
        <v>25</v>
      </c>
      <c r="D4" s="3" t="s">
        <v>29</v>
      </c>
      <c r="E4" s="3">
        <v>550</v>
      </c>
      <c r="F4" s="3" t="s">
        <v>47</v>
      </c>
    </row>
    <row r="5" spans="1:6" x14ac:dyDescent="0.25">
      <c r="A5" s="3" t="s">
        <v>8</v>
      </c>
      <c r="B5" s="15"/>
      <c r="C5" s="8" t="s">
        <v>25</v>
      </c>
      <c r="D5" s="3" t="s">
        <v>30</v>
      </c>
      <c r="E5" s="3">
        <v>910</v>
      </c>
      <c r="F5" s="3" t="s">
        <v>48</v>
      </c>
    </row>
    <row r="6" spans="1:6" x14ac:dyDescent="0.25">
      <c r="A6" s="2" t="s">
        <v>9</v>
      </c>
      <c r="B6" s="16"/>
      <c r="C6" s="9" t="s">
        <v>25</v>
      </c>
      <c r="D6" s="2" t="s">
        <v>31</v>
      </c>
      <c r="E6" s="2">
        <v>630</v>
      </c>
      <c r="F6" s="2" t="s">
        <v>49</v>
      </c>
    </row>
    <row r="7" spans="1:6" x14ac:dyDescent="0.25">
      <c r="A7" s="4" t="s">
        <v>10</v>
      </c>
      <c r="B7" s="17" t="s">
        <v>65</v>
      </c>
      <c r="C7" s="10" t="s">
        <v>26</v>
      </c>
      <c r="D7" s="4" t="s">
        <v>29</v>
      </c>
      <c r="E7" s="4">
        <v>1200</v>
      </c>
      <c r="F7" s="4" t="s">
        <v>60</v>
      </c>
    </row>
    <row r="8" spans="1:6" x14ac:dyDescent="0.25">
      <c r="A8" s="3" t="s">
        <v>11</v>
      </c>
      <c r="B8" s="15"/>
      <c r="C8" s="8" t="s">
        <v>26</v>
      </c>
      <c r="D8" s="3" t="s">
        <v>32</v>
      </c>
      <c r="E8" s="3">
        <v>1000</v>
      </c>
      <c r="F8" s="3" t="s">
        <v>44</v>
      </c>
    </row>
    <row r="9" spans="1:6" x14ac:dyDescent="0.25">
      <c r="A9" s="3" t="s">
        <v>12</v>
      </c>
      <c r="B9" s="15"/>
      <c r="C9" s="8" t="s">
        <v>26</v>
      </c>
      <c r="D9" s="3" t="s">
        <v>30</v>
      </c>
      <c r="E9" s="3">
        <v>950</v>
      </c>
      <c r="F9" s="3" t="s">
        <v>45</v>
      </c>
    </row>
    <row r="10" spans="1:6" x14ac:dyDescent="0.25">
      <c r="A10" s="3" t="s">
        <v>13</v>
      </c>
      <c r="B10" s="15"/>
      <c r="C10" s="8" t="s">
        <v>26</v>
      </c>
      <c r="D10" s="3" t="s">
        <v>34</v>
      </c>
      <c r="E10" s="3">
        <v>960</v>
      </c>
      <c r="F10" s="3" t="s">
        <v>52</v>
      </c>
    </row>
    <row r="11" spans="1:6" x14ac:dyDescent="0.25">
      <c r="A11" s="2" t="s">
        <v>14</v>
      </c>
      <c r="B11" s="16"/>
      <c r="C11" s="9" t="s">
        <v>26</v>
      </c>
      <c r="D11" s="2" t="s">
        <v>33</v>
      </c>
      <c r="E11" s="2">
        <v>850</v>
      </c>
      <c r="F11" s="2" t="s">
        <v>53</v>
      </c>
    </row>
    <row r="12" spans="1:6" x14ac:dyDescent="0.25">
      <c r="A12" s="4" t="s">
        <v>15</v>
      </c>
      <c r="B12" s="17" t="s">
        <v>66</v>
      </c>
      <c r="C12" s="10" t="s">
        <v>146</v>
      </c>
      <c r="D12" s="4" t="s">
        <v>35</v>
      </c>
      <c r="E12" s="4">
        <v>770</v>
      </c>
      <c r="F12" s="4" t="s">
        <v>54</v>
      </c>
    </row>
    <row r="13" spans="1:6" x14ac:dyDescent="0.25">
      <c r="A13" s="3" t="s">
        <v>16</v>
      </c>
      <c r="B13" s="15"/>
      <c r="C13" s="8" t="s">
        <v>146</v>
      </c>
      <c r="D13" s="3" t="s">
        <v>36</v>
      </c>
      <c r="E13" s="3">
        <v>900</v>
      </c>
      <c r="F13" s="3" t="s">
        <v>55</v>
      </c>
    </row>
    <row r="14" spans="1:6" x14ac:dyDescent="0.25">
      <c r="A14" s="3" t="s">
        <v>17</v>
      </c>
      <c r="B14" s="15"/>
      <c r="C14" s="8" t="s">
        <v>146</v>
      </c>
      <c r="D14" s="3" t="s">
        <v>37</v>
      </c>
      <c r="E14" s="3">
        <v>1100</v>
      </c>
      <c r="F14" s="3" t="s">
        <v>56</v>
      </c>
    </row>
    <row r="15" spans="1:6" x14ac:dyDescent="0.25">
      <c r="A15" s="3" t="s">
        <v>18</v>
      </c>
      <c r="B15" s="15"/>
      <c r="C15" s="8" t="s">
        <v>146</v>
      </c>
      <c r="D15" s="3" t="s">
        <v>38</v>
      </c>
      <c r="E15" s="3">
        <v>1400</v>
      </c>
      <c r="F15" s="3" t="s">
        <v>57</v>
      </c>
    </row>
    <row r="16" spans="1:6" x14ac:dyDescent="0.25">
      <c r="A16" s="2" t="s">
        <v>19</v>
      </c>
      <c r="B16" s="16"/>
      <c r="C16" s="9" t="s">
        <v>146</v>
      </c>
      <c r="D16" s="2" t="s">
        <v>27</v>
      </c>
      <c r="E16" s="2">
        <v>950</v>
      </c>
      <c r="F16" s="2" t="s">
        <v>58</v>
      </c>
    </row>
    <row r="17" spans="1:6" x14ac:dyDescent="0.25">
      <c r="A17" s="4" t="s">
        <v>20</v>
      </c>
      <c r="B17" s="17" t="s">
        <v>67</v>
      </c>
      <c r="C17" s="10" t="s">
        <v>147</v>
      </c>
      <c r="D17" s="4" t="s">
        <v>39</v>
      </c>
      <c r="E17" s="4">
        <v>1350</v>
      </c>
      <c r="F17" s="4" t="s">
        <v>59</v>
      </c>
    </row>
    <row r="18" spans="1:6" x14ac:dyDescent="0.25">
      <c r="A18" s="3" t="s">
        <v>21</v>
      </c>
      <c r="B18" s="15"/>
      <c r="C18" s="8" t="s">
        <v>147</v>
      </c>
      <c r="D18" s="3" t="s">
        <v>40</v>
      </c>
      <c r="E18" s="3">
        <v>1080</v>
      </c>
      <c r="F18" s="3" t="s">
        <v>60</v>
      </c>
    </row>
    <row r="19" spans="1:6" x14ac:dyDescent="0.25">
      <c r="A19" s="3" t="s">
        <v>22</v>
      </c>
      <c r="B19" s="15"/>
      <c r="C19" s="8" t="s">
        <v>147</v>
      </c>
      <c r="D19" s="3" t="s">
        <v>41</v>
      </c>
      <c r="E19" s="3">
        <v>870</v>
      </c>
      <c r="F19" s="3" t="s">
        <v>49</v>
      </c>
    </row>
    <row r="20" spans="1:6" x14ac:dyDescent="0.25">
      <c r="A20" s="3" t="s">
        <v>23</v>
      </c>
      <c r="B20" s="15"/>
      <c r="C20" s="8" t="s">
        <v>147</v>
      </c>
      <c r="D20" s="3" t="s">
        <v>42</v>
      </c>
      <c r="E20" s="3">
        <v>700</v>
      </c>
      <c r="F20" s="3" t="s">
        <v>58</v>
      </c>
    </row>
    <row r="21" spans="1:6" x14ac:dyDescent="0.25">
      <c r="A21" s="2" t="s">
        <v>24</v>
      </c>
      <c r="B21" s="16"/>
      <c r="C21" s="9" t="s">
        <v>147</v>
      </c>
      <c r="D21" s="2" t="s">
        <v>43</v>
      </c>
      <c r="E21" s="2">
        <v>1200</v>
      </c>
      <c r="F21" s="2" t="s">
        <v>55</v>
      </c>
    </row>
  </sheetData>
  <mergeCells count="4">
    <mergeCell ref="B2:B6"/>
    <mergeCell ref="B7:B11"/>
    <mergeCell ref="B12:B16"/>
    <mergeCell ref="B17:B2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2"/>
  <sheetViews>
    <sheetView zoomScale="75" zoomScaleNormal="75" workbookViewId="0">
      <selection activeCell="P14" sqref="P14"/>
    </sheetView>
  </sheetViews>
  <sheetFormatPr defaultRowHeight="15" x14ac:dyDescent="0.25"/>
  <cols>
    <col min="2" max="2" width="11.85546875" customWidth="1"/>
    <col min="3" max="3" width="8.7109375" customWidth="1"/>
    <col min="4" max="4" width="6.85546875" customWidth="1"/>
    <col min="11" max="11" width="10.42578125" customWidth="1"/>
  </cols>
  <sheetData>
    <row r="1" spans="1:12" ht="16.5" customHeight="1" x14ac:dyDescent="0.25">
      <c r="A1" s="13" t="s">
        <v>61</v>
      </c>
      <c r="B1" s="18" t="s">
        <v>81</v>
      </c>
      <c r="C1" s="18"/>
      <c r="D1" s="18"/>
      <c r="E1" s="18" t="s">
        <v>62</v>
      </c>
      <c r="F1" s="18"/>
      <c r="G1" s="18"/>
      <c r="H1" s="18"/>
    </row>
    <row r="2" spans="1:12" x14ac:dyDescent="0.25">
      <c r="A2" s="11"/>
      <c r="B2" s="11" t="s">
        <v>82</v>
      </c>
      <c r="C2" s="11" t="s">
        <v>85</v>
      </c>
      <c r="D2" s="11" t="s">
        <v>83</v>
      </c>
      <c r="E2" s="11" t="s">
        <v>84</v>
      </c>
      <c r="F2" s="11" t="s">
        <v>65</v>
      </c>
      <c r="G2" s="11" t="s">
        <v>66</v>
      </c>
      <c r="H2" s="11" t="s">
        <v>67</v>
      </c>
    </row>
    <row r="3" spans="1:12" x14ac:dyDescent="0.25">
      <c r="A3" t="s">
        <v>46</v>
      </c>
      <c r="B3">
        <v>1</v>
      </c>
      <c r="C3">
        <v>2</v>
      </c>
      <c r="D3">
        <f xml:space="preserve"> B3+C3</f>
        <v>3</v>
      </c>
      <c r="E3" t="s">
        <v>86</v>
      </c>
      <c r="F3" t="s">
        <v>86</v>
      </c>
      <c r="G3" t="s">
        <v>86</v>
      </c>
      <c r="H3" t="s">
        <v>86</v>
      </c>
    </row>
    <row r="4" spans="1:12" x14ac:dyDescent="0.25">
      <c r="A4" t="s">
        <v>44</v>
      </c>
      <c r="B4">
        <v>1</v>
      </c>
      <c r="C4">
        <v>2</v>
      </c>
      <c r="D4">
        <f t="shared" ref="D4:D32" si="0" xml:space="preserve"> B4+C4</f>
        <v>3</v>
      </c>
      <c r="E4" t="s">
        <v>86</v>
      </c>
      <c r="F4" t="s">
        <v>86</v>
      </c>
      <c r="G4" t="s">
        <v>86</v>
      </c>
      <c r="H4" t="s">
        <v>86</v>
      </c>
    </row>
    <row r="5" spans="1:12" x14ac:dyDescent="0.25">
      <c r="A5" t="s">
        <v>49</v>
      </c>
      <c r="B5">
        <v>1</v>
      </c>
      <c r="C5">
        <v>2</v>
      </c>
      <c r="D5">
        <f t="shared" si="0"/>
        <v>3</v>
      </c>
      <c r="E5" t="s">
        <v>86</v>
      </c>
      <c r="F5" t="s">
        <v>86</v>
      </c>
      <c r="G5" t="s">
        <v>86</v>
      </c>
      <c r="H5" t="s">
        <v>86</v>
      </c>
    </row>
    <row r="6" spans="1:12" x14ac:dyDescent="0.25">
      <c r="A6" t="s">
        <v>50</v>
      </c>
      <c r="B6">
        <v>1</v>
      </c>
      <c r="C6">
        <v>2</v>
      </c>
      <c r="D6">
        <f t="shared" si="0"/>
        <v>3</v>
      </c>
      <c r="E6" t="s">
        <v>86</v>
      </c>
      <c r="F6" t="s">
        <v>87</v>
      </c>
      <c r="G6" t="s">
        <v>86</v>
      </c>
      <c r="H6" t="s">
        <v>86</v>
      </c>
      <c r="K6" s="19" t="s">
        <v>88</v>
      </c>
      <c r="L6" s="19"/>
    </row>
    <row r="7" spans="1:12" x14ac:dyDescent="0.25">
      <c r="A7" t="s">
        <v>45</v>
      </c>
      <c r="B7">
        <v>1</v>
      </c>
      <c r="C7">
        <v>2</v>
      </c>
      <c r="D7">
        <f t="shared" si="0"/>
        <v>3</v>
      </c>
      <c r="E7" t="s">
        <v>86</v>
      </c>
      <c r="F7" t="s">
        <v>86</v>
      </c>
      <c r="G7" t="s">
        <v>86</v>
      </c>
      <c r="H7" t="s">
        <v>86</v>
      </c>
      <c r="K7" s="4" t="s">
        <v>84</v>
      </c>
      <c r="L7" s="4">
        <f>25</f>
        <v>25</v>
      </c>
    </row>
    <row r="8" spans="1:12" x14ac:dyDescent="0.25">
      <c r="A8" t="s">
        <v>59</v>
      </c>
      <c r="B8">
        <v>1</v>
      </c>
      <c r="C8">
        <v>2</v>
      </c>
      <c r="D8">
        <f t="shared" si="0"/>
        <v>3</v>
      </c>
      <c r="E8" t="s">
        <v>86</v>
      </c>
      <c r="F8" t="s">
        <v>86</v>
      </c>
      <c r="G8" t="s">
        <v>86</v>
      </c>
      <c r="H8" t="s">
        <v>86</v>
      </c>
      <c r="K8" s="3" t="s">
        <v>65</v>
      </c>
      <c r="L8" s="3">
        <v>26</v>
      </c>
    </row>
    <row r="9" spans="1:12" x14ac:dyDescent="0.25">
      <c r="A9" t="s">
        <v>51</v>
      </c>
      <c r="B9">
        <v>1</v>
      </c>
      <c r="C9">
        <v>2</v>
      </c>
      <c r="D9">
        <f t="shared" si="0"/>
        <v>3</v>
      </c>
      <c r="E9" t="s">
        <v>86</v>
      </c>
      <c r="F9" t="s">
        <v>86</v>
      </c>
      <c r="G9" t="s">
        <v>86</v>
      </c>
      <c r="H9" t="s">
        <v>87</v>
      </c>
      <c r="K9" s="3" t="s">
        <v>66</v>
      </c>
      <c r="L9" s="3">
        <v>27</v>
      </c>
    </row>
    <row r="10" spans="1:12" x14ac:dyDescent="0.25">
      <c r="A10" t="s">
        <v>58</v>
      </c>
      <c r="B10">
        <v>1</v>
      </c>
      <c r="C10">
        <v>2</v>
      </c>
      <c r="D10">
        <f t="shared" si="0"/>
        <v>3</v>
      </c>
      <c r="E10" t="s">
        <v>86</v>
      </c>
      <c r="F10" t="s">
        <v>87</v>
      </c>
      <c r="G10" t="s">
        <v>86</v>
      </c>
      <c r="H10" t="s">
        <v>86</v>
      </c>
      <c r="K10" s="2" t="s">
        <v>67</v>
      </c>
      <c r="L10" s="2">
        <v>27</v>
      </c>
    </row>
    <row r="11" spans="1:12" x14ac:dyDescent="0.25">
      <c r="A11" t="s">
        <v>47</v>
      </c>
      <c r="B11">
        <v>1</v>
      </c>
      <c r="C11">
        <v>1</v>
      </c>
      <c r="D11">
        <f t="shared" si="0"/>
        <v>2</v>
      </c>
      <c r="E11" t="s">
        <v>86</v>
      </c>
      <c r="F11" t="s">
        <v>86</v>
      </c>
      <c r="G11" t="s">
        <v>86</v>
      </c>
      <c r="H11" t="s">
        <v>86</v>
      </c>
    </row>
    <row r="12" spans="1:12" x14ac:dyDescent="0.25">
      <c r="A12" t="s">
        <v>57</v>
      </c>
      <c r="B12">
        <v>1</v>
      </c>
      <c r="C12">
        <v>2</v>
      </c>
      <c r="D12">
        <f t="shared" si="0"/>
        <v>3</v>
      </c>
      <c r="E12" t="s">
        <v>117</v>
      </c>
      <c r="F12" t="s">
        <v>86</v>
      </c>
      <c r="G12" t="s">
        <v>86</v>
      </c>
      <c r="H12" t="s">
        <v>86</v>
      </c>
    </row>
    <row r="13" spans="1:12" x14ac:dyDescent="0.25">
      <c r="A13" t="s">
        <v>56</v>
      </c>
      <c r="B13">
        <v>1</v>
      </c>
      <c r="C13">
        <v>2</v>
      </c>
      <c r="D13">
        <f t="shared" si="0"/>
        <v>3</v>
      </c>
      <c r="E13" t="s">
        <v>86</v>
      </c>
      <c r="F13" t="s">
        <v>86</v>
      </c>
      <c r="G13" t="s">
        <v>86</v>
      </c>
      <c r="H13" t="s">
        <v>86</v>
      </c>
    </row>
    <row r="14" spans="1:12" x14ac:dyDescent="0.25">
      <c r="A14" t="s">
        <v>68</v>
      </c>
      <c r="B14">
        <v>1</v>
      </c>
      <c r="C14">
        <v>2</v>
      </c>
      <c r="D14">
        <f t="shared" si="0"/>
        <v>3</v>
      </c>
      <c r="E14" t="s">
        <v>86</v>
      </c>
      <c r="F14" t="s">
        <v>86</v>
      </c>
      <c r="G14" t="s">
        <v>87</v>
      </c>
      <c r="H14" t="s">
        <v>86</v>
      </c>
    </row>
    <row r="15" spans="1:12" x14ac:dyDescent="0.25">
      <c r="A15" t="s">
        <v>69</v>
      </c>
      <c r="B15">
        <v>1</v>
      </c>
      <c r="C15">
        <v>2</v>
      </c>
      <c r="D15">
        <f t="shared" si="0"/>
        <v>3</v>
      </c>
      <c r="E15" t="s">
        <v>86</v>
      </c>
      <c r="F15" t="s">
        <v>86</v>
      </c>
      <c r="G15" t="s">
        <v>86</v>
      </c>
      <c r="H15" t="s">
        <v>87</v>
      </c>
    </row>
    <row r="16" spans="1:12" x14ac:dyDescent="0.25">
      <c r="A16" t="s">
        <v>70</v>
      </c>
      <c r="B16">
        <v>2</v>
      </c>
      <c r="C16">
        <v>3</v>
      </c>
      <c r="D16">
        <f t="shared" si="0"/>
        <v>5</v>
      </c>
      <c r="E16" t="s">
        <v>87</v>
      </c>
      <c r="F16" t="s">
        <v>86</v>
      </c>
      <c r="G16" t="s">
        <v>86</v>
      </c>
      <c r="H16" t="s">
        <v>86</v>
      </c>
    </row>
    <row r="17" spans="1:8" x14ac:dyDescent="0.25">
      <c r="A17" t="s">
        <v>52</v>
      </c>
      <c r="B17">
        <v>1</v>
      </c>
      <c r="C17">
        <v>2</v>
      </c>
      <c r="D17">
        <f t="shared" si="0"/>
        <v>3</v>
      </c>
      <c r="E17" t="s">
        <v>86</v>
      </c>
      <c r="F17" t="s">
        <v>86</v>
      </c>
      <c r="G17" t="s">
        <v>86</v>
      </c>
      <c r="H17" t="s">
        <v>86</v>
      </c>
    </row>
    <row r="18" spans="1:8" x14ac:dyDescent="0.25">
      <c r="A18" t="s">
        <v>60</v>
      </c>
      <c r="B18">
        <v>2</v>
      </c>
      <c r="C18">
        <v>2</v>
      </c>
      <c r="D18">
        <f t="shared" si="0"/>
        <v>4</v>
      </c>
      <c r="E18" t="s">
        <v>86</v>
      </c>
      <c r="F18" t="s">
        <v>86</v>
      </c>
      <c r="G18" t="s">
        <v>86</v>
      </c>
      <c r="H18" t="s">
        <v>86</v>
      </c>
    </row>
    <row r="19" spans="1:8" x14ac:dyDescent="0.25">
      <c r="A19" t="s">
        <v>71</v>
      </c>
      <c r="B19">
        <v>1</v>
      </c>
      <c r="C19">
        <v>2</v>
      </c>
      <c r="D19">
        <f t="shared" si="0"/>
        <v>3</v>
      </c>
      <c r="E19" t="s">
        <v>86</v>
      </c>
      <c r="F19" t="s">
        <v>86</v>
      </c>
      <c r="G19" t="s">
        <v>87</v>
      </c>
      <c r="H19" t="s">
        <v>86</v>
      </c>
    </row>
    <row r="20" spans="1:8" x14ac:dyDescent="0.25">
      <c r="A20" t="s">
        <v>55</v>
      </c>
      <c r="B20">
        <v>1</v>
      </c>
      <c r="C20">
        <v>2</v>
      </c>
      <c r="D20">
        <f t="shared" si="0"/>
        <v>3</v>
      </c>
      <c r="E20" t="s">
        <v>87</v>
      </c>
      <c r="F20" t="s">
        <v>86</v>
      </c>
      <c r="G20" t="s">
        <v>86</v>
      </c>
      <c r="H20" t="s">
        <v>86</v>
      </c>
    </row>
    <row r="21" spans="1:8" x14ac:dyDescent="0.25">
      <c r="A21" t="s">
        <v>72</v>
      </c>
      <c r="B21">
        <v>1</v>
      </c>
      <c r="C21">
        <v>2</v>
      </c>
      <c r="D21">
        <f t="shared" si="0"/>
        <v>3</v>
      </c>
      <c r="E21" t="s">
        <v>86</v>
      </c>
      <c r="F21" t="s">
        <v>86</v>
      </c>
      <c r="G21" t="s">
        <v>86</v>
      </c>
      <c r="H21" t="s">
        <v>86</v>
      </c>
    </row>
    <row r="22" spans="1:8" x14ac:dyDescent="0.25">
      <c r="A22" t="s">
        <v>73</v>
      </c>
      <c r="B22">
        <v>2</v>
      </c>
      <c r="C22">
        <v>3</v>
      </c>
      <c r="D22">
        <f t="shared" si="0"/>
        <v>5</v>
      </c>
      <c r="E22" t="s">
        <v>86</v>
      </c>
      <c r="F22" t="s">
        <v>87</v>
      </c>
      <c r="G22" t="s">
        <v>86</v>
      </c>
      <c r="H22" t="s">
        <v>87</v>
      </c>
    </row>
    <row r="23" spans="1:8" x14ac:dyDescent="0.25">
      <c r="A23" t="s">
        <v>48</v>
      </c>
      <c r="B23">
        <v>1</v>
      </c>
      <c r="C23">
        <v>2</v>
      </c>
      <c r="D23">
        <f xml:space="preserve"> B23+C23</f>
        <v>3</v>
      </c>
      <c r="E23" t="s">
        <v>86</v>
      </c>
      <c r="F23" t="s">
        <v>87</v>
      </c>
      <c r="G23" t="s">
        <v>86</v>
      </c>
      <c r="H23" t="s">
        <v>86</v>
      </c>
    </row>
    <row r="24" spans="1:8" x14ac:dyDescent="0.25">
      <c r="A24" t="s">
        <v>74</v>
      </c>
      <c r="B24">
        <v>1</v>
      </c>
      <c r="C24">
        <v>2</v>
      </c>
      <c r="D24">
        <f t="shared" si="0"/>
        <v>3</v>
      </c>
      <c r="E24" t="s">
        <v>86</v>
      </c>
      <c r="F24" t="s">
        <v>86</v>
      </c>
      <c r="G24" t="s">
        <v>87</v>
      </c>
      <c r="H24" t="s">
        <v>86</v>
      </c>
    </row>
    <row r="25" spans="1:8" x14ac:dyDescent="0.25">
      <c r="A25" t="s">
        <v>75</v>
      </c>
      <c r="B25">
        <v>1</v>
      </c>
      <c r="C25">
        <v>1</v>
      </c>
      <c r="D25">
        <f t="shared" si="0"/>
        <v>2</v>
      </c>
      <c r="E25" t="s">
        <v>86</v>
      </c>
      <c r="F25" t="s">
        <v>86</v>
      </c>
      <c r="G25" t="s">
        <v>86</v>
      </c>
      <c r="H25" t="s">
        <v>86</v>
      </c>
    </row>
    <row r="26" spans="1:8" x14ac:dyDescent="0.25">
      <c r="A26" t="s">
        <v>76</v>
      </c>
      <c r="B26">
        <v>1</v>
      </c>
      <c r="C26">
        <v>2</v>
      </c>
      <c r="D26">
        <f t="shared" si="0"/>
        <v>3</v>
      </c>
      <c r="E26" t="s">
        <v>86</v>
      </c>
      <c r="F26" t="s">
        <v>86</v>
      </c>
      <c r="G26" t="s">
        <v>86</v>
      </c>
      <c r="H26" t="s">
        <v>86</v>
      </c>
    </row>
    <row r="27" spans="1:8" x14ac:dyDescent="0.25">
      <c r="A27" t="s">
        <v>77</v>
      </c>
      <c r="B27">
        <v>1</v>
      </c>
      <c r="C27">
        <v>2</v>
      </c>
      <c r="D27">
        <f t="shared" si="0"/>
        <v>3</v>
      </c>
      <c r="E27" t="s">
        <v>87</v>
      </c>
      <c r="F27" t="s">
        <v>86</v>
      </c>
      <c r="G27" t="s">
        <v>86</v>
      </c>
      <c r="H27" t="s">
        <v>86</v>
      </c>
    </row>
    <row r="28" spans="1:8" x14ac:dyDescent="0.25">
      <c r="A28" t="s">
        <v>53</v>
      </c>
      <c r="B28">
        <v>1</v>
      </c>
      <c r="C28">
        <v>2</v>
      </c>
      <c r="D28">
        <f t="shared" si="0"/>
        <v>3</v>
      </c>
      <c r="E28" t="s">
        <v>86</v>
      </c>
      <c r="F28" t="s">
        <v>86</v>
      </c>
      <c r="G28" t="s">
        <v>86</v>
      </c>
      <c r="H28" t="s">
        <v>86</v>
      </c>
    </row>
    <row r="29" spans="1:8" x14ac:dyDescent="0.25">
      <c r="A29" t="s">
        <v>78</v>
      </c>
      <c r="B29">
        <v>1</v>
      </c>
      <c r="C29">
        <v>2</v>
      </c>
      <c r="D29">
        <f t="shared" si="0"/>
        <v>3</v>
      </c>
      <c r="E29" t="s">
        <v>86</v>
      </c>
      <c r="F29" t="s">
        <v>86</v>
      </c>
      <c r="G29" t="s">
        <v>86</v>
      </c>
      <c r="H29" t="s">
        <v>86</v>
      </c>
    </row>
    <row r="30" spans="1:8" x14ac:dyDescent="0.25">
      <c r="A30" t="s">
        <v>79</v>
      </c>
      <c r="B30">
        <v>1</v>
      </c>
      <c r="C30">
        <v>1</v>
      </c>
      <c r="D30">
        <f t="shared" si="0"/>
        <v>2</v>
      </c>
      <c r="E30" t="s">
        <v>86</v>
      </c>
      <c r="F30" t="s">
        <v>86</v>
      </c>
      <c r="G30" t="s">
        <v>86</v>
      </c>
      <c r="H30" t="s">
        <v>86</v>
      </c>
    </row>
    <row r="31" spans="1:8" x14ac:dyDescent="0.25">
      <c r="A31" t="s">
        <v>80</v>
      </c>
      <c r="B31">
        <v>1</v>
      </c>
      <c r="C31">
        <v>2</v>
      </c>
      <c r="D31">
        <f t="shared" si="0"/>
        <v>3</v>
      </c>
      <c r="E31" t="s">
        <v>87</v>
      </c>
      <c r="F31" t="s">
        <v>86</v>
      </c>
      <c r="G31" t="s">
        <v>86</v>
      </c>
      <c r="H31" t="s">
        <v>86</v>
      </c>
    </row>
    <row r="32" spans="1:8" x14ac:dyDescent="0.25">
      <c r="A32" t="s">
        <v>54</v>
      </c>
      <c r="B32">
        <v>1</v>
      </c>
      <c r="C32">
        <v>2</v>
      </c>
      <c r="D32">
        <f t="shared" si="0"/>
        <v>3</v>
      </c>
      <c r="E32" t="s">
        <v>86</v>
      </c>
      <c r="F32" t="s">
        <v>86</v>
      </c>
      <c r="G32" t="s">
        <v>86</v>
      </c>
      <c r="H32" t="s">
        <v>86</v>
      </c>
    </row>
  </sheetData>
  <mergeCells count="3">
    <mergeCell ref="B1:D1"/>
    <mergeCell ref="E1:H1"/>
    <mergeCell ref="K6:L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1"/>
  <sheetViews>
    <sheetView tabSelected="1" topLeftCell="B1" workbookViewId="0">
      <selection activeCell="M20" sqref="M20"/>
    </sheetView>
  </sheetViews>
  <sheetFormatPr defaultRowHeight="15" x14ac:dyDescent="0.25"/>
  <cols>
    <col min="2" max="2" width="10.42578125" customWidth="1"/>
    <col min="3" max="3" width="7" customWidth="1"/>
    <col min="4" max="4" width="13" customWidth="1"/>
    <col min="5" max="5" width="17.42578125" customWidth="1"/>
    <col min="6" max="6" width="16.5703125" customWidth="1"/>
    <col min="7" max="7" width="14.5703125" customWidth="1"/>
    <col min="8" max="8" width="16.28515625" customWidth="1"/>
    <col min="9" max="9" width="14.5703125" customWidth="1"/>
    <col min="10" max="10" width="9.5703125" customWidth="1"/>
    <col min="11" max="11" width="6.28515625" customWidth="1"/>
    <col min="12" max="12" width="6.5703125" customWidth="1"/>
    <col min="13" max="13" width="15.85546875" customWidth="1"/>
    <col min="14" max="14" width="26.85546875" customWidth="1"/>
  </cols>
  <sheetData>
    <row r="1" spans="1:14" x14ac:dyDescent="0.25">
      <c r="A1" s="11" t="s">
        <v>89</v>
      </c>
      <c r="B1" s="11" t="s">
        <v>0</v>
      </c>
      <c r="C1" s="11" t="s">
        <v>116</v>
      </c>
      <c r="D1" s="11" t="s">
        <v>1</v>
      </c>
      <c r="E1" s="11" t="s">
        <v>90</v>
      </c>
      <c r="F1" s="11" t="s">
        <v>91</v>
      </c>
      <c r="G1" s="11" t="s">
        <v>92</v>
      </c>
      <c r="H1" s="11" t="s">
        <v>93</v>
      </c>
      <c r="I1" s="11" t="s">
        <v>94</v>
      </c>
      <c r="J1" s="14" t="s">
        <v>95</v>
      </c>
    </row>
    <row r="2" spans="1:14" x14ac:dyDescent="0.25">
      <c r="A2" s="3" t="s">
        <v>96</v>
      </c>
      <c r="B2" s="3" t="s">
        <v>5</v>
      </c>
      <c r="C2" s="15" t="s">
        <v>84</v>
      </c>
      <c r="D2" s="3" t="str">
        <f>Farmers!D2</f>
        <v xml:space="preserve">5.45 a.m. </v>
      </c>
      <c r="E2" s="3" t="s">
        <v>128</v>
      </c>
      <c r="F2" s="3" t="s">
        <v>148</v>
      </c>
      <c r="G2" s="3">
        <v>55</v>
      </c>
      <c r="H2" s="3">
        <v>50</v>
      </c>
      <c r="I2" s="3">
        <v>4</v>
      </c>
      <c r="J2" s="5" t="str">
        <f>Farmers!F2</f>
        <v>D05</v>
      </c>
    </row>
    <row r="3" spans="1:14" x14ac:dyDescent="0.25">
      <c r="A3" s="3" t="s">
        <v>97</v>
      </c>
      <c r="B3" s="3" t="s">
        <v>6</v>
      </c>
      <c r="C3" s="15"/>
      <c r="D3" s="3" t="str">
        <f>Farmers!D3</f>
        <v>5.50 a.m.</v>
      </c>
      <c r="E3" s="3" t="s">
        <v>119</v>
      </c>
      <c r="F3" s="3" t="s">
        <v>133</v>
      </c>
      <c r="G3" s="3">
        <v>70</v>
      </c>
      <c r="H3" s="3">
        <v>55</v>
      </c>
      <c r="I3" s="3">
        <v>5</v>
      </c>
      <c r="J3" s="5" t="str">
        <f>Farmers!F3</f>
        <v>D01</v>
      </c>
    </row>
    <row r="4" spans="1:14" x14ac:dyDescent="0.25">
      <c r="A4" s="3" t="s">
        <v>98</v>
      </c>
      <c r="B4" s="3" t="s">
        <v>7</v>
      </c>
      <c r="C4" s="15"/>
      <c r="D4" s="3" t="str">
        <f>Farmers!D4</f>
        <v>6.10 a.m.</v>
      </c>
      <c r="E4" s="3" t="s">
        <v>119</v>
      </c>
      <c r="F4" s="3" t="s">
        <v>118</v>
      </c>
      <c r="G4" s="3">
        <v>50</v>
      </c>
      <c r="H4" s="3">
        <v>40</v>
      </c>
      <c r="I4" s="3">
        <v>7</v>
      </c>
      <c r="J4" s="5" t="str">
        <f>Farmers!F4</f>
        <v>D09</v>
      </c>
    </row>
    <row r="5" spans="1:14" x14ac:dyDescent="0.25">
      <c r="A5" s="3" t="s">
        <v>99</v>
      </c>
      <c r="B5" s="3" t="s">
        <v>8</v>
      </c>
      <c r="C5" s="15"/>
      <c r="D5" s="3" t="str">
        <f>Farmers!D5</f>
        <v>6.25 a.m.</v>
      </c>
      <c r="E5" s="3" t="s">
        <v>118</v>
      </c>
      <c r="F5" s="3" t="s">
        <v>135</v>
      </c>
      <c r="G5" s="3">
        <v>75</v>
      </c>
      <c r="H5" s="3">
        <v>70</v>
      </c>
      <c r="I5" s="3">
        <v>6</v>
      </c>
      <c r="J5" s="5" t="str">
        <f>Farmers!F5</f>
        <v>D21</v>
      </c>
    </row>
    <row r="6" spans="1:14" x14ac:dyDescent="0.25">
      <c r="A6" s="2" t="s">
        <v>100</v>
      </c>
      <c r="B6" s="2" t="s">
        <v>9</v>
      </c>
      <c r="C6" s="16"/>
      <c r="D6" s="2" t="str">
        <f>Farmers!D6</f>
        <v>6.30 a.m.</v>
      </c>
      <c r="E6" s="2" t="s">
        <v>120</v>
      </c>
      <c r="F6" s="2" t="s">
        <v>137</v>
      </c>
      <c r="G6" s="2">
        <v>80</v>
      </c>
      <c r="H6" s="2">
        <v>40</v>
      </c>
      <c r="I6" s="2">
        <v>7</v>
      </c>
      <c r="J6" s="6" t="str">
        <f>Farmers!F6</f>
        <v>D03</v>
      </c>
    </row>
    <row r="7" spans="1:14" x14ac:dyDescent="0.25">
      <c r="A7" s="4" t="s">
        <v>101</v>
      </c>
      <c r="B7" s="4" t="s">
        <v>10</v>
      </c>
      <c r="C7" s="17" t="s">
        <v>65</v>
      </c>
      <c r="D7" s="4" t="str">
        <f>Farmers!D7</f>
        <v>6.10 a.m.</v>
      </c>
      <c r="E7" s="4" t="s">
        <v>122</v>
      </c>
      <c r="F7" s="4" t="s">
        <v>136</v>
      </c>
      <c r="G7" s="4">
        <v>60</v>
      </c>
      <c r="H7" s="4">
        <v>65</v>
      </c>
      <c r="I7" s="4">
        <v>6</v>
      </c>
      <c r="J7" s="7" t="str">
        <f>Farmers!F7</f>
        <v>D16</v>
      </c>
    </row>
    <row r="8" spans="1:14" x14ac:dyDescent="0.25">
      <c r="A8" s="3" t="s">
        <v>102</v>
      </c>
      <c r="B8" s="3" t="s">
        <v>11</v>
      </c>
      <c r="C8" s="15"/>
      <c r="D8" s="3" t="str">
        <f>Farmers!D8</f>
        <v>6.15 a.m.</v>
      </c>
      <c r="E8" s="3" t="s">
        <v>123</v>
      </c>
      <c r="F8" s="3" t="s">
        <v>136</v>
      </c>
      <c r="G8" s="3">
        <v>70</v>
      </c>
      <c r="H8" s="3">
        <v>50</v>
      </c>
      <c r="I8" s="3">
        <v>7</v>
      </c>
      <c r="J8" s="5" t="str">
        <f>Farmers!F8</f>
        <v>D02</v>
      </c>
    </row>
    <row r="9" spans="1:14" x14ac:dyDescent="0.25">
      <c r="A9" s="3" t="s">
        <v>103</v>
      </c>
      <c r="B9" s="3" t="s">
        <v>12</v>
      </c>
      <c r="C9" s="15"/>
      <c r="D9" s="3" t="str">
        <f>Farmers!D9</f>
        <v>6.25 a.m.</v>
      </c>
      <c r="E9" s="3" t="s">
        <v>124</v>
      </c>
      <c r="F9" s="3" t="s">
        <v>149</v>
      </c>
      <c r="G9" s="3">
        <v>65</v>
      </c>
      <c r="H9" s="3">
        <v>55</v>
      </c>
      <c r="I9" s="3">
        <v>7</v>
      </c>
      <c r="J9" s="5" t="str">
        <f>Farmers!F9</f>
        <v>D05</v>
      </c>
      <c r="K9" s="3"/>
      <c r="L9" s="11" t="s">
        <v>116</v>
      </c>
      <c r="M9" s="11" t="s">
        <v>140</v>
      </c>
      <c r="N9" s="11" t="s">
        <v>145</v>
      </c>
    </row>
    <row r="10" spans="1:14" x14ac:dyDescent="0.25">
      <c r="A10" s="3" t="s">
        <v>104</v>
      </c>
      <c r="B10" s="3" t="s">
        <v>13</v>
      </c>
      <c r="C10" s="15"/>
      <c r="D10" s="3" t="str">
        <f>Farmers!D10</f>
        <v>6.27 a.m.</v>
      </c>
      <c r="E10" s="3" t="s">
        <v>124</v>
      </c>
      <c r="F10" s="3" t="s">
        <v>137</v>
      </c>
      <c r="G10" s="3">
        <v>63</v>
      </c>
      <c r="H10" s="3">
        <v>60</v>
      </c>
      <c r="I10" s="3">
        <v>6</v>
      </c>
      <c r="J10" s="5" t="str">
        <f>Farmers!F10</f>
        <v>D15</v>
      </c>
      <c r="K10" s="3"/>
      <c r="L10" s="4" t="s">
        <v>141</v>
      </c>
      <c r="M10" s="4">
        <v>66.709999999999994</v>
      </c>
      <c r="N10" s="4">
        <v>5.8</v>
      </c>
    </row>
    <row r="11" spans="1:14" x14ac:dyDescent="0.25">
      <c r="A11" s="2" t="s">
        <v>105</v>
      </c>
      <c r="B11" s="2" t="s">
        <v>14</v>
      </c>
      <c r="C11" s="16"/>
      <c r="D11" s="2" t="str">
        <f>Farmers!D11</f>
        <v xml:space="preserve">6.30 a.m. </v>
      </c>
      <c r="E11" s="2" t="s">
        <v>125</v>
      </c>
      <c r="F11" s="2" t="s">
        <v>137</v>
      </c>
      <c r="G11" s="2">
        <v>75</v>
      </c>
      <c r="H11" s="2">
        <v>45</v>
      </c>
      <c r="I11" s="2">
        <v>7</v>
      </c>
      <c r="J11" s="6" t="str">
        <f>Farmers!F11</f>
        <v>D26</v>
      </c>
      <c r="K11" s="3"/>
      <c r="L11" s="3" t="s">
        <v>142</v>
      </c>
      <c r="M11" s="3">
        <v>66.209999999999994</v>
      </c>
      <c r="N11" s="3">
        <v>6.6</v>
      </c>
    </row>
    <row r="12" spans="1:14" x14ac:dyDescent="0.25">
      <c r="A12" s="4" t="s">
        <v>106</v>
      </c>
      <c r="B12" s="4" t="s">
        <v>15</v>
      </c>
      <c r="C12" s="17" t="s">
        <v>66</v>
      </c>
      <c r="D12" s="4" t="str">
        <f>Farmers!D12</f>
        <v>5.20 a.m.</v>
      </c>
      <c r="E12" s="4" t="s">
        <v>126</v>
      </c>
      <c r="F12" s="4" t="s">
        <v>138</v>
      </c>
      <c r="G12" s="4">
        <v>55</v>
      </c>
      <c r="H12" s="4">
        <v>40</v>
      </c>
      <c r="I12" s="4">
        <v>4</v>
      </c>
      <c r="J12" s="7" t="str">
        <f>Farmers!F12</f>
        <v>D30</v>
      </c>
      <c r="K12" s="3"/>
      <c r="L12" s="3" t="s">
        <v>143</v>
      </c>
      <c r="M12" s="3">
        <v>60.61</v>
      </c>
      <c r="N12" s="3">
        <v>5.6</v>
      </c>
    </row>
    <row r="13" spans="1:14" x14ac:dyDescent="0.25">
      <c r="A13" s="3" t="s">
        <v>107</v>
      </c>
      <c r="B13" s="3" t="s">
        <v>16</v>
      </c>
      <c r="C13" s="15"/>
      <c r="D13" s="3" t="str">
        <f>Farmers!D13</f>
        <v>5.30 a.m.</v>
      </c>
      <c r="E13" s="3" t="s">
        <v>121</v>
      </c>
      <c r="F13" s="3" t="s">
        <v>123</v>
      </c>
      <c r="G13" s="3">
        <v>65</v>
      </c>
      <c r="H13" s="3">
        <v>50</v>
      </c>
      <c r="I13" s="3">
        <v>5</v>
      </c>
      <c r="J13" s="5" t="str">
        <f>Farmers!F13</f>
        <v>D18</v>
      </c>
      <c r="K13" s="3"/>
      <c r="L13" s="2" t="s">
        <v>144</v>
      </c>
      <c r="M13" s="2">
        <v>59.63</v>
      </c>
      <c r="N13" s="2">
        <v>7.8</v>
      </c>
    </row>
    <row r="14" spans="1:14" x14ac:dyDescent="0.25">
      <c r="A14" s="3" t="s">
        <v>108</v>
      </c>
      <c r="B14" s="3" t="s">
        <v>17</v>
      </c>
      <c r="C14" s="15"/>
      <c r="D14" s="3" t="str">
        <f>Farmers!D14</f>
        <v>5.37 a.m.</v>
      </c>
      <c r="E14" s="3" t="s">
        <v>127</v>
      </c>
      <c r="F14" s="3" t="s">
        <v>155</v>
      </c>
      <c r="G14" s="3">
        <v>63</v>
      </c>
      <c r="H14" s="3">
        <v>75</v>
      </c>
      <c r="I14" s="3">
        <v>6</v>
      </c>
      <c r="J14" s="5" t="str">
        <f>Farmers!F14</f>
        <v>D11</v>
      </c>
    </row>
    <row r="15" spans="1:14" x14ac:dyDescent="0.25">
      <c r="A15" s="3" t="s">
        <v>109</v>
      </c>
      <c r="B15" s="3" t="s">
        <v>18</v>
      </c>
      <c r="C15" s="15"/>
      <c r="D15" s="3" t="str">
        <f>Farmers!D15</f>
        <v>5.40 a.m.</v>
      </c>
      <c r="E15" s="3" t="s">
        <v>131</v>
      </c>
      <c r="F15" s="3" t="s">
        <v>153</v>
      </c>
      <c r="G15" s="3">
        <v>55</v>
      </c>
      <c r="H15" s="3">
        <v>80</v>
      </c>
      <c r="I15" s="3">
        <v>6</v>
      </c>
      <c r="J15" s="5" t="str">
        <f>Farmers!F15</f>
        <v>D10</v>
      </c>
    </row>
    <row r="16" spans="1:14" x14ac:dyDescent="0.25">
      <c r="A16" s="2" t="s">
        <v>110</v>
      </c>
      <c r="B16" s="2" t="s">
        <v>19</v>
      </c>
      <c r="C16" s="16"/>
      <c r="D16" s="2" t="str">
        <f>Farmers!D16</f>
        <v xml:space="preserve">5.45 a.m. </v>
      </c>
      <c r="E16" s="2" t="s">
        <v>132</v>
      </c>
      <c r="F16" s="2" t="s">
        <v>150</v>
      </c>
      <c r="G16" s="2">
        <v>65</v>
      </c>
      <c r="H16" s="2">
        <v>45</v>
      </c>
      <c r="I16" s="2">
        <v>7</v>
      </c>
      <c r="J16" s="6" t="str">
        <f>Farmers!F16</f>
        <v>D08</v>
      </c>
    </row>
    <row r="17" spans="1:10" x14ac:dyDescent="0.25">
      <c r="A17" s="4" t="s">
        <v>111</v>
      </c>
      <c r="B17" s="4" t="s">
        <v>20</v>
      </c>
      <c r="C17" s="17" t="s">
        <v>67</v>
      </c>
      <c r="D17" s="4" t="str">
        <f>Farmers!D17</f>
        <v>6.40 a.m.</v>
      </c>
      <c r="E17" s="4" t="s">
        <v>124</v>
      </c>
      <c r="F17" s="4" t="s">
        <v>152</v>
      </c>
      <c r="G17" s="4">
        <v>50</v>
      </c>
      <c r="H17" s="4">
        <v>70</v>
      </c>
      <c r="I17" s="4">
        <v>8</v>
      </c>
      <c r="J17" s="7" t="str">
        <f>Farmers!F17</f>
        <v>D06</v>
      </c>
    </row>
    <row r="18" spans="1:10" x14ac:dyDescent="0.25">
      <c r="A18" s="3" t="s">
        <v>112</v>
      </c>
      <c r="B18" s="3" t="s">
        <v>21</v>
      </c>
      <c r="C18" s="15"/>
      <c r="D18" s="3" t="str">
        <f>Farmers!D18</f>
        <v>6.45 a.m.</v>
      </c>
      <c r="E18" s="3" t="s">
        <v>125</v>
      </c>
      <c r="F18" s="3" t="s">
        <v>139</v>
      </c>
      <c r="G18" s="3">
        <v>60</v>
      </c>
      <c r="H18" s="3">
        <v>50</v>
      </c>
      <c r="I18" s="3">
        <v>7</v>
      </c>
      <c r="J18" s="5" t="str">
        <f>Farmers!F18</f>
        <v>D16</v>
      </c>
    </row>
    <row r="19" spans="1:10" x14ac:dyDescent="0.25">
      <c r="A19" s="3" t="s">
        <v>113</v>
      </c>
      <c r="B19" s="3" t="s">
        <v>22</v>
      </c>
      <c r="C19" s="15"/>
      <c r="D19" s="3" t="str">
        <f>Farmers!D19</f>
        <v>6.55 a.m.</v>
      </c>
      <c r="E19" s="3" t="s">
        <v>118</v>
      </c>
      <c r="F19" s="3" t="s">
        <v>134</v>
      </c>
      <c r="G19" s="3">
        <v>45</v>
      </c>
      <c r="H19" s="3">
        <v>40</v>
      </c>
      <c r="I19" s="3">
        <v>8</v>
      </c>
      <c r="J19" s="5" t="str">
        <f>Farmers!F19</f>
        <v>D03</v>
      </c>
    </row>
    <row r="20" spans="1:10" x14ac:dyDescent="0.25">
      <c r="A20" s="3" t="s">
        <v>114</v>
      </c>
      <c r="B20" s="3" t="s">
        <v>23</v>
      </c>
      <c r="C20" s="15"/>
      <c r="D20" s="3" t="str">
        <f>Farmers!D20</f>
        <v>7.00 a.m.</v>
      </c>
      <c r="E20" s="3" t="s">
        <v>129</v>
      </c>
      <c r="F20" s="3" t="s">
        <v>151</v>
      </c>
      <c r="G20" s="3">
        <v>70</v>
      </c>
      <c r="H20" s="3">
        <v>45</v>
      </c>
      <c r="I20" s="3">
        <v>7</v>
      </c>
      <c r="J20" s="5" t="str">
        <f>Farmers!F20</f>
        <v>D08</v>
      </c>
    </row>
    <row r="21" spans="1:10" x14ac:dyDescent="0.25">
      <c r="A21" s="2" t="s">
        <v>115</v>
      </c>
      <c r="B21" s="2" t="s">
        <v>24</v>
      </c>
      <c r="C21" s="16"/>
      <c r="D21" s="2" t="str">
        <f>Farmers!D21</f>
        <v>7.05 a.m.</v>
      </c>
      <c r="E21" s="2" t="s">
        <v>130</v>
      </c>
      <c r="F21" s="2" t="s">
        <v>154</v>
      </c>
      <c r="G21" s="2">
        <v>70</v>
      </c>
      <c r="H21" s="2">
        <v>65</v>
      </c>
      <c r="I21" s="2">
        <v>9</v>
      </c>
      <c r="J21" s="6" t="str">
        <f>Farmers!F21</f>
        <v>D18</v>
      </c>
    </row>
  </sheetData>
  <mergeCells count="4">
    <mergeCell ref="C2:C6"/>
    <mergeCell ref="C7:C11"/>
    <mergeCell ref="C12:C16"/>
    <mergeCell ref="C17:C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Farmers</vt:lpstr>
      <vt:lpstr>Docks</vt:lpstr>
      <vt:lpstr>Event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2025-10-31T04:24:57Z</dcterms:created>
  <dcterms:modified xsi:type="dcterms:W3CDTF">2025-11-30T16:24:30Z</dcterms:modified>
</cp:coreProperties>
</file>