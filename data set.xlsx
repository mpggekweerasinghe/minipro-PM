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Farmers"/>
    <sheet r:id="rId2" sheetId="2" name="Docks"/>
    <sheet r:id="rId3" sheetId="3" name="Event"/>
  </sheets>
  <calcPr fullCalcOnLoad="1"/>
</workbook>
</file>

<file path=xl/sharedStrings.xml><?xml version="1.0" encoding="utf-8"?>
<sst xmlns="http://schemas.openxmlformats.org/spreadsheetml/2006/main" count="356" uniqueCount="156">
  <si>
    <t>Event id</t>
  </si>
  <si>
    <t>Farmer id</t>
  </si>
  <si>
    <t>Day</t>
  </si>
  <si>
    <t>Arrival time</t>
  </si>
  <si>
    <t>Start Service time</t>
  </si>
  <si>
    <t>End service time</t>
  </si>
  <si>
    <t>Wait minutes</t>
  </si>
  <si>
    <t>Service minutes</t>
  </si>
  <si>
    <t>Queue length per dock</t>
  </si>
  <si>
    <t xml:space="preserve">Dock id </t>
  </si>
  <si>
    <t>E001</t>
  </si>
  <si>
    <t>F001</t>
  </si>
  <si>
    <t>Day 01</t>
  </si>
  <si>
    <t xml:space="preserve">7.40 a.m </t>
  </si>
  <si>
    <t xml:space="preserve">8.30 a.m. </t>
  </si>
  <si>
    <t>E002</t>
  </si>
  <si>
    <t>F002</t>
  </si>
  <si>
    <t>8.00 a.m</t>
  </si>
  <si>
    <t xml:space="preserve">8.55 a.m. </t>
  </si>
  <si>
    <t>E003</t>
  </si>
  <si>
    <t>F003</t>
  </si>
  <si>
    <t>8.40 a.m</t>
  </si>
  <si>
    <t>E004</t>
  </si>
  <si>
    <t>F004</t>
  </si>
  <si>
    <t>9.50 a.m</t>
  </si>
  <si>
    <t>E005</t>
  </si>
  <si>
    <t>F005</t>
  </si>
  <si>
    <t>8.50 a.m</t>
  </si>
  <si>
    <t>9.30 a.m</t>
  </si>
  <si>
    <t>E006</t>
  </si>
  <si>
    <t>F006</t>
  </si>
  <si>
    <t>Day 02</t>
  </si>
  <si>
    <t>8.10 a.m</t>
  </si>
  <si>
    <t>9.15 a.m</t>
  </si>
  <si>
    <t>E007</t>
  </si>
  <si>
    <t>F007</t>
  </si>
  <si>
    <t>8.25 a.m</t>
  </si>
  <si>
    <t>E008</t>
  </si>
  <si>
    <t>F008</t>
  </si>
  <si>
    <t>8.30 a.m</t>
  </si>
  <si>
    <t>9.25 a.m</t>
  </si>
  <si>
    <t>Avg wait (min)</t>
  </si>
  <si>
    <t>Avg queue length (Per dock)</t>
  </si>
  <si>
    <t>E009</t>
  </si>
  <si>
    <t>F009</t>
  </si>
  <si>
    <t>Day 1</t>
  </si>
  <si>
    <t>E010</t>
  </si>
  <si>
    <t>F010</t>
  </si>
  <si>
    <t xml:space="preserve">8.45 a.m </t>
  </si>
  <si>
    <t>Day 2</t>
  </si>
  <si>
    <t>E011</t>
  </si>
  <si>
    <t>F011</t>
  </si>
  <si>
    <t>Day 03</t>
  </si>
  <si>
    <t>7.15 a.m</t>
  </si>
  <si>
    <t>7.55 a.m</t>
  </si>
  <si>
    <t>Day 3</t>
  </si>
  <si>
    <t>E012</t>
  </si>
  <si>
    <t>F012</t>
  </si>
  <si>
    <t>7.35 a.m</t>
  </si>
  <si>
    <t>Day 4</t>
  </si>
  <si>
    <t>E013</t>
  </si>
  <si>
    <t>F013</t>
  </si>
  <si>
    <t>7.40 a.m</t>
  </si>
  <si>
    <t>8.55 a.m</t>
  </si>
  <si>
    <t>E014</t>
  </si>
  <si>
    <t>F014</t>
  </si>
  <si>
    <t>7.45 a.m</t>
  </si>
  <si>
    <t>9.05 a.m</t>
  </si>
  <si>
    <t>E015</t>
  </si>
  <si>
    <t>F015</t>
  </si>
  <si>
    <t xml:space="preserve">7.50 a.m </t>
  </si>
  <si>
    <t xml:space="preserve">8.35 a.m </t>
  </si>
  <si>
    <t>E016</t>
  </si>
  <si>
    <t>F016</t>
  </si>
  <si>
    <t>Day 04</t>
  </si>
  <si>
    <t>9.40 a.m</t>
  </si>
  <si>
    <t>E017</t>
  </si>
  <si>
    <t>F017</t>
  </si>
  <si>
    <t xml:space="preserve">9.35 a.m </t>
  </si>
  <si>
    <t>E018</t>
  </si>
  <si>
    <t>F018</t>
  </si>
  <si>
    <t>9.20 a.m</t>
  </si>
  <si>
    <t>E019</t>
  </si>
  <si>
    <t>F019</t>
  </si>
  <si>
    <t>9.10 a.m</t>
  </si>
  <si>
    <t>9.55 a.m</t>
  </si>
  <si>
    <t>E020</t>
  </si>
  <si>
    <t>F020</t>
  </si>
  <si>
    <t xml:space="preserve">9.15 a.m </t>
  </si>
  <si>
    <t>10.20 a.m</t>
  </si>
  <si>
    <t>Dock id</t>
  </si>
  <si>
    <t xml:space="preserve">Total workers </t>
  </si>
  <si>
    <t>Status</t>
  </si>
  <si>
    <t>Accountants</t>
  </si>
  <si>
    <t>Labours</t>
  </si>
  <si>
    <t>Total</t>
  </si>
  <si>
    <t>D01</t>
  </si>
  <si>
    <t>Active</t>
  </si>
  <si>
    <t>D02</t>
  </si>
  <si>
    <t>D03</t>
  </si>
  <si>
    <t>D04</t>
  </si>
  <si>
    <t>No</t>
  </si>
  <si>
    <t>Total Active docks</t>
  </si>
  <si>
    <t>D05</t>
  </si>
  <si>
    <t>D06</t>
  </si>
  <si>
    <t>D07</t>
  </si>
  <si>
    <t>D08</t>
  </si>
  <si>
    <t>D09</t>
  </si>
  <si>
    <t>D10</t>
  </si>
  <si>
    <t xml:space="preserve">No 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</si>
  <si>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</si>
  <si>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</si>
  <si>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</si>
  <si>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</si>
  <si>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</si>
  <si>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</si>
  <si>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</si>
  <si>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</si>
  <si>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</si>
  <si>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</si>
  <si>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</si>
  <si>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</si>
  <si>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</si>
  <si>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</si>
  <si>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</si>
  <si>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</si>
  <si>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</si>
  <si>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</si>
  <si>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</si>
  <si>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</si>
  <si>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 xml:space="preserve">Day </t>
  </si>
  <si>
    <t>Date</t>
  </si>
  <si>
    <t>Estimated load(Kg)</t>
  </si>
  <si>
    <t>Preferred dock</t>
  </si>
  <si>
    <t xml:space="preserve">Day 01 </t>
  </si>
  <si>
    <t>20-10-2025</t>
  </si>
  <si>
    <t xml:space="preserve">5.45 a.m. </t>
  </si>
  <si>
    <t>5.50 a.m.</t>
  </si>
  <si>
    <t>6.10 a.m.</t>
  </si>
  <si>
    <t>6.25 a.m.</t>
  </si>
  <si>
    <t>6.30 a.m.</t>
  </si>
  <si>
    <t>23-10-2025</t>
  </si>
  <si>
    <t>6.15 a.m.</t>
  </si>
  <si>
    <t>6.27 a.m.</t>
  </si>
  <si>
    <t xml:space="preserve">6.30 a.m. </t>
  </si>
  <si>
    <t>26-10-2025</t>
  </si>
  <si>
    <t>5.20 a.m.</t>
  </si>
  <si>
    <t>5.30 a.m.</t>
  </si>
  <si>
    <t>5.37 a.m.</t>
  </si>
  <si>
    <t>5.40 a.m.</t>
  </si>
  <si>
    <t>28-10-2025</t>
  </si>
  <si>
    <t>6.40 a.m.</t>
  </si>
  <si>
    <t>6.45 a.m.</t>
  </si>
  <si>
    <t>6.55 a.m.</t>
  </si>
  <si>
    <t>7.00 a.m.</t>
  </si>
  <si>
    <t>7.05 a.m.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</si>
</sst>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3" applyBorder="1" fontId="2" applyFont="1" fillId="0" applyAlignment="1">
      <alignment horizontal="center" vertical="top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0" borderId="5" applyBorder="1" fontId="2" applyFont="1" fillId="0" applyAlignment="1">
      <alignment horizontal="center" vertical="top"/>
    </xf>
    <xf xfId="0" numFmtId="0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0" borderId="6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5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3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25" width="10.147857142857141" customWidth="1" bestFit="1"/>
    <col min="2" max="2" style="26" width="6.576428571428571" customWidth="1" bestFit="1"/>
    <col min="3" max="3" style="25" width="14.147857142857141" customWidth="1" bestFit="1"/>
    <col min="4" max="4" style="25" width="14.147857142857141" customWidth="1" bestFit="1"/>
    <col min="5" max="5" style="27" width="17.862142857142857" customWidth="1" bestFit="1"/>
    <col min="6" max="6" style="25" width="15.43357142857143" customWidth="1" bestFit="1"/>
  </cols>
  <sheetData>
    <row x14ac:dyDescent="0.25" r="1" customHeight="1" ht="18.75">
      <c r="A1" s="1" t="s">
        <v>1</v>
      </c>
      <c r="B1" s="1" t="s">
        <v>130</v>
      </c>
      <c r="C1" s="1" t="s">
        <v>131</v>
      </c>
      <c r="D1" s="1" t="s">
        <v>3</v>
      </c>
      <c r="E1" s="2" t="s">
        <v>132</v>
      </c>
      <c r="F1" s="1" t="s">
        <v>133</v>
      </c>
    </row>
    <row x14ac:dyDescent="0.25" r="2" customHeight="1" ht="18.75">
      <c r="A2" s="4" t="s">
        <v>11</v>
      </c>
      <c r="B2" s="6" t="s">
        <v>134</v>
      </c>
      <c r="C2" s="36" t="s">
        <v>135</v>
      </c>
      <c r="D2" s="4" t="s">
        <v>136</v>
      </c>
      <c r="E2" s="8">
        <v>780</v>
      </c>
      <c r="F2" s="4" t="s">
        <v>103</v>
      </c>
    </row>
    <row x14ac:dyDescent="0.25" r="3" customHeight="1" ht="18.75">
      <c r="A3" s="4" t="s">
        <v>16</v>
      </c>
      <c r="B3" s="10"/>
      <c r="C3" s="36" t="s">
        <v>135</v>
      </c>
      <c r="D3" s="4" t="s">
        <v>137</v>
      </c>
      <c r="E3" s="8">
        <v>820</v>
      </c>
      <c r="F3" s="4" t="s">
        <v>96</v>
      </c>
    </row>
    <row x14ac:dyDescent="0.25" r="4" customHeight="1" ht="18.75">
      <c r="A4" s="4" t="s">
        <v>20</v>
      </c>
      <c r="B4" s="10"/>
      <c r="C4" s="36" t="s">
        <v>135</v>
      </c>
      <c r="D4" s="4" t="s">
        <v>138</v>
      </c>
      <c r="E4" s="8">
        <v>550</v>
      </c>
      <c r="F4" s="4" t="s">
        <v>107</v>
      </c>
    </row>
    <row x14ac:dyDescent="0.25" r="5" customHeight="1" ht="18.75">
      <c r="A5" s="4" t="s">
        <v>23</v>
      </c>
      <c r="B5" s="10"/>
      <c r="C5" s="36" t="s">
        <v>135</v>
      </c>
      <c r="D5" s="4" t="s">
        <v>139</v>
      </c>
      <c r="E5" s="8">
        <v>910</v>
      </c>
      <c r="F5" s="4" t="s">
        <v>120</v>
      </c>
    </row>
    <row x14ac:dyDescent="0.25" r="6" customHeight="1" ht="18.75">
      <c r="A6" s="11" t="s">
        <v>26</v>
      </c>
      <c r="B6" s="12"/>
      <c r="C6" s="11" t="s">
        <v>135</v>
      </c>
      <c r="D6" s="11" t="s">
        <v>140</v>
      </c>
      <c r="E6" s="14">
        <v>630</v>
      </c>
      <c r="F6" s="11" t="s">
        <v>99</v>
      </c>
    </row>
    <row x14ac:dyDescent="0.25" r="7" customHeight="1" ht="18.75">
      <c r="A7" s="16" t="s">
        <v>30</v>
      </c>
      <c r="B7" s="17" t="s">
        <v>31</v>
      </c>
      <c r="C7" s="16" t="s">
        <v>141</v>
      </c>
      <c r="D7" s="16" t="s">
        <v>138</v>
      </c>
      <c r="E7" s="19">
        <v>1200</v>
      </c>
      <c r="F7" s="16" t="s">
        <v>115</v>
      </c>
    </row>
    <row x14ac:dyDescent="0.25" r="8" customHeight="1" ht="18.75">
      <c r="A8" s="4" t="s">
        <v>35</v>
      </c>
      <c r="B8" s="10"/>
      <c r="C8" s="36" t="s">
        <v>141</v>
      </c>
      <c r="D8" s="4" t="s">
        <v>142</v>
      </c>
      <c r="E8" s="8">
        <v>1000</v>
      </c>
      <c r="F8" s="4" t="s">
        <v>98</v>
      </c>
    </row>
    <row x14ac:dyDescent="0.25" r="9" customHeight="1" ht="18.75">
      <c r="A9" s="4" t="s">
        <v>38</v>
      </c>
      <c r="B9" s="10"/>
      <c r="C9" s="36" t="s">
        <v>141</v>
      </c>
      <c r="D9" s="4" t="s">
        <v>139</v>
      </c>
      <c r="E9" s="8">
        <v>950</v>
      </c>
      <c r="F9" s="4" t="s">
        <v>103</v>
      </c>
    </row>
    <row x14ac:dyDescent="0.25" r="10" customHeight="1" ht="18.75">
      <c r="A10" s="4" t="s">
        <v>44</v>
      </c>
      <c r="B10" s="10"/>
      <c r="C10" s="36" t="s">
        <v>141</v>
      </c>
      <c r="D10" s="4" t="s">
        <v>143</v>
      </c>
      <c r="E10" s="8">
        <v>960</v>
      </c>
      <c r="F10" s="4" t="s">
        <v>114</v>
      </c>
    </row>
    <row x14ac:dyDescent="0.25" r="11" customHeight="1" ht="18.75">
      <c r="A11" s="11" t="s">
        <v>47</v>
      </c>
      <c r="B11" s="12"/>
      <c r="C11" s="11" t="s">
        <v>141</v>
      </c>
      <c r="D11" s="11" t="s">
        <v>144</v>
      </c>
      <c r="E11" s="14">
        <v>850</v>
      </c>
      <c r="F11" s="11" t="s">
        <v>125</v>
      </c>
    </row>
    <row x14ac:dyDescent="0.25" r="12" customHeight="1" ht="18.75">
      <c r="A12" s="16" t="s">
        <v>51</v>
      </c>
      <c r="B12" s="17" t="s">
        <v>52</v>
      </c>
      <c r="C12" s="16" t="s">
        <v>145</v>
      </c>
      <c r="D12" s="16" t="s">
        <v>146</v>
      </c>
      <c r="E12" s="19">
        <v>770</v>
      </c>
      <c r="F12" s="16" t="s">
        <v>129</v>
      </c>
    </row>
    <row x14ac:dyDescent="0.25" r="13" customHeight="1" ht="18.75">
      <c r="A13" s="4" t="s">
        <v>57</v>
      </c>
      <c r="B13" s="10"/>
      <c r="C13" s="36" t="s">
        <v>145</v>
      </c>
      <c r="D13" s="4" t="s">
        <v>147</v>
      </c>
      <c r="E13" s="8">
        <v>900</v>
      </c>
      <c r="F13" s="4" t="s">
        <v>117</v>
      </c>
    </row>
    <row x14ac:dyDescent="0.25" r="14" customHeight="1" ht="18.75">
      <c r="A14" s="4" t="s">
        <v>61</v>
      </c>
      <c r="B14" s="10"/>
      <c r="C14" s="36" t="s">
        <v>145</v>
      </c>
      <c r="D14" s="4" t="s">
        <v>148</v>
      </c>
      <c r="E14" s="8">
        <v>1100</v>
      </c>
      <c r="F14" s="4" t="s">
        <v>110</v>
      </c>
    </row>
    <row x14ac:dyDescent="0.25" r="15" customHeight="1" ht="18.75">
      <c r="A15" s="4" t="s">
        <v>65</v>
      </c>
      <c r="B15" s="10"/>
      <c r="C15" s="36" t="s">
        <v>145</v>
      </c>
      <c r="D15" s="4" t="s">
        <v>149</v>
      </c>
      <c r="E15" s="8">
        <v>1400</v>
      </c>
      <c r="F15" s="4" t="s">
        <v>108</v>
      </c>
    </row>
    <row x14ac:dyDescent="0.25" r="16" customHeight="1" ht="18.75">
      <c r="A16" s="11" t="s">
        <v>69</v>
      </c>
      <c r="B16" s="12"/>
      <c r="C16" s="11" t="s">
        <v>145</v>
      </c>
      <c r="D16" s="11" t="s">
        <v>136</v>
      </c>
      <c r="E16" s="14">
        <v>950</v>
      </c>
      <c r="F16" s="11" t="s">
        <v>106</v>
      </c>
    </row>
    <row x14ac:dyDescent="0.25" r="17" customHeight="1" ht="18.75">
      <c r="A17" s="16" t="s">
        <v>73</v>
      </c>
      <c r="B17" s="17" t="s">
        <v>74</v>
      </c>
      <c r="C17" s="16" t="s">
        <v>150</v>
      </c>
      <c r="D17" s="16" t="s">
        <v>151</v>
      </c>
      <c r="E17" s="19">
        <v>1350</v>
      </c>
      <c r="F17" s="16" t="s">
        <v>104</v>
      </c>
    </row>
    <row x14ac:dyDescent="0.25" r="18" customHeight="1" ht="18.75">
      <c r="A18" s="4" t="s">
        <v>77</v>
      </c>
      <c r="B18" s="10"/>
      <c r="C18" s="36" t="s">
        <v>150</v>
      </c>
      <c r="D18" s="4" t="s">
        <v>152</v>
      </c>
      <c r="E18" s="8">
        <v>1080</v>
      </c>
      <c r="F18" s="4" t="s">
        <v>115</v>
      </c>
    </row>
    <row x14ac:dyDescent="0.25" r="19" customHeight="1" ht="18.75">
      <c r="A19" s="4" t="s">
        <v>80</v>
      </c>
      <c r="B19" s="10"/>
      <c r="C19" s="36" t="s">
        <v>150</v>
      </c>
      <c r="D19" s="4" t="s">
        <v>153</v>
      </c>
      <c r="E19" s="8">
        <v>870</v>
      </c>
      <c r="F19" s="4" t="s">
        <v>99</v>
      </c>
    </row>
    <row x14ac:dyDescent="0.25" r="20" customHeight="1" ht="18.75">
      <c r="A20" s="4" t="s">
        <v>83</v>
      </c>
      <c r="B20" s="10"/>
      <c r="C20" s="36" t="s">
        <v>150</v>
      </c>
      <c r="D20" s="4" t="s">
        <v>154</v>
      </c>
      <c r="E20" s="8">
        <v>700</v>
      </c>
      <c r="F20" s="4" t="s">
        <v>106</v>
      </c>
    </row>
    <row x14ac:dyDescent="0.25" r="21" customHeight="1" ht="18.75">
      <c r="A21" s="11" t="s">
        <v>87</v>
      </c>
      <c r="B21" s="12"/>
      <c r="C21" s="11" t="s">
        <v>150</v>
      </c>
      <c r="D21" s="11" t="s">
        <v>155</v>
      </c>
      <c r="E21" s="14">
        <v>1200</v>
      </c>
      <c r="F21" s="11" t="s">
        <v>117</v>
      </c>
    </row>
  </sheetData>
  <mergeCells count="4">
    <mergeCell ref="B2:B6"/>
    <mergeCell ref="B7:B11"/>
    <mergeCell ref="B12:B16"/>
    <mergeCell ref="B17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2"/>
  <sheetViews>
    <sheetView workbookViewId="0"/>
  </sheetViews>
  <sheetFormatPr defaultRowHeight="15" x14ac:dyDescent="0.25"/>
  <cols>
    <col min="1" max="1" style="25" width="13.576428571428572" customWidth="1" bestFit="1"/>
    <col min="2" max="2" style="27" width="11.862142857142858" customWidth="1" bestFit="1"/>
    <col min="3" max="3" style="27" width="8.719285714285713" customWidth="1" bestFit="1"/>
    <col min="4" max="4" style="27" width="6.862142857142857" customWidth="1" bestFit="1"/>
    <col min="5" max="5" style="25" width="13.576428571428572" customWidth="1" bestFit="1"/>
    <col min="6" max="6" style="25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5" width="13.576428571428572" customWidth="1" bestFit="1"/>
    <col min="11" max="11" style="25" width="10.43357142857143" customWidth="1" bestFit="1"/>
    <col min="12" max="12" style="35" width="13.576428571428572" customWidth="1" bestFit="1"/>
  </cols>
  <sheetData>
    <row x14ac:dyDescent="0.25" r="1" customHeight="1" ht="16.5">
      <c r="A1" s="29" t="s">
        <v>90</v>
      </c>
      <c r="B1" s="30" t="s">
        <v>91</v>
      </c>
      <c r="C1" s="30"/>
      <c r="D1" s="30"/>
      <c r="E1" s="31" t="s">
        <v>92</v>
      </c>
      <c r="F1" s="31"/>
      <c r="G1" s="31"/>
      <c r="H1" s="31"/>
      <c r="I1" s="4"/>
      <c r="J1" s="4"/>
      <c r="K1" s="4"/>
      <c r="L1" s="32"/>
    </row>
    <row x14ac:dyDescent="0.25" r="2" customHeight="1" ht="18.75">
      <c r="A2" s="1"/>
      <c r="B2" s="2" t="s">
        <v>93</v>
      </c>
      <c r="C2" s="2" t="s">
        <v>94</v>
      </c>
      <c r="D2" s="2" t="s">
        <v>95</v>
      </c>
      <c r="E2" s="1" t="s">
        <v>12</v>
      </c>
      <c r="F2" s="1" t="s">
        <v>31</v>
      </c>
      <c r="G2" s="1" t="s">
        <v>52</v>
      </c>
      <c r="H2" s="1" t="s">
        <v>74</v>
      </c>
      <c r="I2" s="4"/>
      <c r="J2" s="4"/>
      <c r="K2" s="4"/>
      <c r="L2" s="32"/>
    </row>
    <row x14ac:dyDescent="0.25" r="3" customHeight="1" ht="18.75">
      <c r="A3" s="4" t="s">
        <v>96</v>
      </c>
      <c r="B3" s="8">
        <v>1</v>
      </c>
      <c r="C3" s="8">
        <v>2</v>
      </c>
      <c r="D3" s="8">
        <f> B3+C3</f>
      </c>
      <c r="E3" s="4" t="s">
        <v>97</v>
      </c>
      <c r="F3" s="4" t="s">
        <v>97</v>
      </c>
      <c r="G3" s="4" t="s">
        <v>97</v>
      </c>
      <c r="H3" s="4" t="s">
        <v>97</v>
      </c>
      <c r="I3" s="4"/>
      <c r="J3" s="4"/>
      <c r="K3" s="4"/>
      <c r="L3" s="32"/>
    </row>
    <row x14ac:dyDescent="0.25" r="4" customHeight="1" ht="18.75">
      <c r="A4" s="4" t="s">
        <v>98</v>
      </c>
      <c r="B4" s="8">
        <v>1</v>
      </c>
      <c r="C4" s="8">
        <v>2</v>
      </c>
      <c r="D4" s="8">
        <f> B4+C4</f>
      </c>
      <c r="E4" s="4" t="s">
        <v>97</v>
      </c>
      <c r="F4" s="4" t="s">
        <v>97</v>
      </c>
      <c r="G4" s="4" t="s">
        <v>97</v>
      </c>
      <c r="H4" s="4" t="s">
        <v>97</v>
      </c>
      <c r="I4" s="4"/>
      <c r="J4" s="4"/>
      <c r="K4" s="4"/>
      <c r="L4" s="32"/>
    </row>
    <row x14ac:dyDescent="0.25" r="5" customHeight="1" ht="18.75">
      <c r="A5" s="4" t="s">
        <v>99</v>
      </c>
      <c r="B5" s="8">
        <v>1</v>
      </c>
      <c r="C5" s="8">
        <v>2</v>
      </c>
      <c r="D5" s="8">
        <f> B5+C5</f>
      </c>
      <c r="E5" s="4" t="s">
        <v>97</v>
      </c>
      <c r="F5" s="4" t="s">
        <v>97</v>
      </c>
      <c r="G5" s="4" t="s">
        <v>97</v>
      </c>
      <c r="H5" s="4" t="s">
        <v>97</v>
      </c>
      <c r="I5" s="4"/>
      <c r="J5" s="4"/>
      <c r="K5" s="4"/>
      <c r="L5" s="32"/>
    </row>
    <row x14ac:dyDescent="0.25" r="6" customHeight="1" ht="18.75">
      <c r="A6" s="4" t="s">
        <v>100</v>
      </c>
      <c r="B6" s="8">
        <v>1</v>
      </c>
      <c r="C6" s="8">
        <v>2</v>
      </c>
      <c r="D6" s="8">
        <f> B6+C6</f>
      </c>
      <c r="E6" s="4" t="s">
        <v>97</v>
      </c>
      <c r="F6" s="4" t="s">
        <v>101</v>
      </c>
      <c r="G6" s="4" t="s">
        <v>97</v>
      </c>
      <c r="H6" s="4" t="s">
        <v>97</v>
      </c>
      <c r="I6" s="4"/>
      <c r="J6" s="4"/>
      <c r="K6" s="33" t="s">
        <v>102</v>
      </c>
      <c r="L6" s="34"/>
    </row>
    <row x14ac:dyDescent="0.25" r="7" customHeight="1" ht="18.75">
      <c r="A7" s="4" t="s">
        <v>103</v>
      </c>
      <c r="B7" s="8">
        <v>1</v>
      </c>
      <c r="C7" s="8">
        <v>2</v>
      </c>
      <c r="D7" s="8">
        <f> B7+C7</f>
      </c>
      <c r="E7" s="4" t="s">
        <v>97</v>
      </c>
      <c r="F7" s="4" t="s">
        <v>97</v>
      </c>
      <c r="G7" s="4" t="s">
        <v>97</v>
      </c>
      <c r="H7" s="4" t="s">
        <v>97</v>
      </c>
      <c r="I7" s="4"/>
      <c r="J7" s="4"/>
      <c r="K7" s="16" t="s">
        <v>12</v>
      </c>
      <c r="L7" s="19">
        <f>25</f>
      </c>
    </row>
    <row x14ac:dyDescent="0.25" r="8" customHeight="1" ht="18.75">
      <c r="A8" s="4" t="s">
        <v>104</v>
      </c>
      <c r="B8" s="8">
        <v>1</v>
      </c>
      <c r="C8" s="8">
        <v>2</v>
      </c>
      <c r="D8" s="8">
        <f> B8+C8</f>
      </c>
      <c r="E8" s="4" t="s">
        <v>97</v>
      </c>
      <c r="F8" s="4" t="s">
        <v>97</v>
      </c>
      <c r="G8" s="4" t="s">
        <v>97</v>
      </c>
      <c r="H8" s="4" t="s">
        <v>97</v>
      </c>
      <c r="I8" s="4"/>
      <c r="J8" s="4"/>
      <c r="K8" s="4" t="s">
        <v>31</v>
      </c>
      <c r="L8" s="8">
        <v>26</v>
      </c>
    </row>
    <row x14ac:dyDescent="0.25" r="9" customHeight="1" ht="18.75">
      <c r="A9" s="4" t="s">
        <v>105</v>
      </c>
      <c r="B9" s="8">
        <v>1</v>
      </c>
      <c r="C9" s="8">
        <v>2</v>
      </c>
      <c r="D9" s="8">
        <f> B9+C9</f>
      </c>
      <c r="E9" s="4" t="s">
        <v>97</v>
      </c>
      <c r="F9" s="4" t="s">
        <v>97</v>
      </c>
      <c r="G9" s="4" t="s">
        <v>97</v>
      </c>
      <c r="H9" s="4" t="s">
        <v>101</v>
      </c>
      <c r="I9" s="4"/>
      <c r="J9" s="4"/>
      <c r="K9" s="4" t="s">
        <v>52</v>
      </c>
      <c r="L9" s="8">
        <v>27</v>
      </c>
    </row>
    <row x14ac:dyDescent="0.25" r="10" customHeight="1" ht="18.75">
      <c r="A10" s="4" t="s">
        <v>106</v>
      </c>
      <c r="B10" s="8">
        <v>1</v>
      </c>
      <c r="C10" s="8">
        <v>2</v>
      </c>
      <c r="D10" s="8">
        <f> B10+C10</f>
      </c>
      <c r="E10" s="4" t="s">
        <v>97</v>
      </c>
      <c r="F10" s="4" t="s">
        <v>101</v>
      </c>
      <c r="G10" s="4" t="s">
        <v>97</v>
      </c>
      <c r="H10" s="4" t="s">
        <v>97</v>
      </c>
      <c r="I10" s="4"/>
      <c r="J10" s="4"/>
      <c r="K10" s="11" t="s">
        <v>74</v>
      </c>
      <c r="L10" s="14">
        <v>27</v>
      </c>
    </row>
    <row x14ac:dyDescent="0.25" r="11" customHeight="1" ht="18.75">
      <c r="A11" s="4" t="s">
        <v>107</v>
      </c>
      <c r="B11" s="8">
        <v>1</v>
      </c>
      <c r="C11" s="8">
        <v>1</v>
      </c>
      <c r="D11" s="8">
        <f> B11+C11</f>
      </c>
      <c r="E11" s="4" t="s">
        <v>97</v>
      </c>
      <c r="F11" s="4" t="s">
        <v>97</v>
      </c>
      <c r="G11" s="4" t="s">
        <v>97</v>
      </c>
      <c r="H11" s="4" t="s">
        <v>97</v>
      </c>
      <c r="I11" s="4"/>
      <c r="J11" s="4"/>
      <c r="K11" s="4"/>
      <c r="L11" s="32"/>
    </row>
    <row x14ac:dyDescent="0.25" r="12" customHeight="1" ht="18.75">
      <c r="A12" s="4" t="s">
        <v>108</v>
      </c>
      <c r="B12" s="8">
        <v>1</v>
      </c>
      <c r="C12" s="8">
        <v>2</v>
      </c>
      <c r="D12" s="8">
        <f> B12+C12</f>
      </c>
      <c r="E12" s="4" t="s">
        <v>109</v>
      </c>
      <c r="F12" s="4" t="s">
        <v>97</v>
      </c>
      <c r="G12" s="4" t="s">
        <v>97</v>
      </c>
      <c r="H12" s="4" t="s">
        <v>97</v>
      </c>
      <c r="I12" s="4"/>
      <c r="J12" s="4"/>
      <c r="K12" s="4"/>
      <c r="L12" s="32"/>
    </row>
    <row x14ac:dyDescent="0.25" r="13" customHeight="1" ht="18.75">
      <c r="A13" s="4" t="s">
        <v>110</v>
      </c>
      <c r="B13" s="8">
        <v>1</v>
      </c>
      <c r="C13" s="8">
        <v>2</v>
      </c>
      <c r="D13" s="8">
        <f> B13+C13</f>
      </c>
      <c r="E13" s="4" t="s">
        <v>97</v>
      </c>
      <c r="F13" s="4" t="s">
        <v>97</v>
      </c>
      <c r="G13" s="4" t="s">
        <v>97</v>
      </c>
      <c r="H13" s="4" t="s">
        <v>97</v>
      </c>
      <c r="I13" s="4"/>
      <c r="J13" s="4"/>
      <c r="K13" s="4"/>
      <c r="L13" s="32"/>
    </row>
    <row x14ac:dyDescent="0.25" r="14" customHeight="1" ht="18.75">
      <c r="A14" s="4" t="s">
        <v>111</v>
      </c>
      <c r="B14" s="8">
        <v>1</v>
      </c>
      <c r="C14" s="8">
        <v>2</v>
      </c>
      <c r="D14" s="8">
        <f> B14+C14</f>
      </c>
      <c r="E14" s="4" t="s">
        <v>97</v>
      </c>
      <c r="F14" s="4" t="s">
        <v>97</v>
      </c>
      <c r="G14" s="4" t="s">
        <v>101</v>
      </c>
      <c r="H14" s="4" t="s">
        <v>97</v>
      </c>
      <c r="I14" s="4"/>
      <c r="J14" s="4"/>
      <c r="K14" s="4"/>
      <c r="L14" s="32"/>
    </row>
    <row x14ac:dyDescent="0.25" r="15" customHeight="1" ht="18.75">
      <c r="A15" s="4" t="s">
        <v>112</v>
      </c>
      <c r="B15" s="8">
        <v>1</v>
      </c>
      <c r="C15" s="8">
        <v>2</v>
      </c>
      <c r="D15" s="8">
        <f> B15+C15</f>
      </c>
      <c r="E15" s="4" t="s">
        <v>97</v>
      </c>
      <c r="F15" s="4" t="s">
        <v>97</v>
      </c>
      <c r="G15" s="4" t="s">
        <v>97</v>
      </c>
      <c r="H15" s="4" t="s">
        <v>101</v>
      </c>
      <c r="I15" s="4"/>
      <c r="J15" s="4"/>
      <c r="K15" s="4"/>
      <c r="L15" s="32"/>
    </row>
    <row x14ac:dyDescent="0.25" r="16" customHeight="1" ht="18.75">
      <c r="A16" s="4" t="s">
        <v>113</v>
      </c>
      <c r="B16" s="8">
        <v>2</v>
      </c>
      <c r="C16" s="8">
        <v>3</v>
      </c>
      <c r="D16" s="8">
        <f> B16+C16</f>
      </c>
      <c r="E16" s="4" t="s">
        <v>101</v>
      </c>
      <c r="F16" s="4" t="s">
        <v>97</v>
      </c>
      <c r="G16" s="4" t="s">
        <v>97</v>
      </c>
      <c r="H16" s="4" t="s">
        <v>97</v>
      </c>
      <c r="I16" s="4"/>
      <c r="J16" s="4"/>
      <c r="K16" s="4"/>
      <c r="L16" s="32"/>
    </row>
    <row x14ac:dyDescent="0.25" r="17" customHeight="1" ht="18.75">
      <c r="A17" s="4" t="s">
        <v>114</v>
      </c>
      <c r="B17" s="8">
        <v>1</v>
      </c>
      <c r="C17" s="8">
        <v>2</v>
      </c>
      <c r="D17" s="8">
        <f> B17+C17</f>
      </c>
      <c r="E17" s="4" t="s">
        <v>97</v>
      </c>
      <c r="F17" s="4" t="s">
        <v>97</v>
      </c>
      <c r="G17" s="4" t="s">
        <v>97</v>
      </c>
      <c r="H17" s="4" t="s">
        <v>97</v>
      </c>
      <c r="I17" s="4"/>
      <c r="J17" s="4"/>
      <c r="K17" s="4"/>
      <c r="L17" s="32"/>
    </row>
    <row x14ac:dyDescent="0.25" r="18" customHeight="1" ht="18.75">
      <c r="A18" s="4" t="s">
        <v>115</v>
      </c>
      <c r="B18" s="8">
        <v>2</v>
      </c>
      <c r="C18" s="8">
        <v>2</v>
      </c>
      <c r="D18" s="8">
        <f> B18+C18</f>
      </c>
      <c r="E18" s="4" t="s">
        <v>97</v>
      </c>
      <c r="F18" s="4" t="s">
        <v>97</v>
      </c>
      <c r="G18" s="4" t="s">
        <v>97</v>
      </c>
      <c r="H18" s="4" t="s">
        <v>97</v>
      </c>
      <c r="I18" s="4"/>
      <c r="J18" s="4"/>
      <c r="K18" s="4"/>
      <c r="L18" s="32"/>
    </row>
    <row x14ac:dyDescent="0.25" r="19" customHeight="1" ht="18.75">
      <c r="A19" s="4" t="s">
        <v>116</v>
      </c>
      <c r="B19" s="8">
        <v>1</v>
      </c>
      <c r="C19" s="8">
        <v>2</v>
      </c>
      <c r="D19" s="8">
        <f> B19+C19</f>
      </c>
      <c r="E19" s="4" t="s">
        <v>97</v>
      </c>
      <c r="F19" s="4" t="s">
        <v>97</v>
      </c>
      <c r="G19" s="4" t="s">
        <v>101</v>
      </c>
      <c r="H19" s="4" t="s">
        <v>97</v>
      </c>
      <c r="I19" s="4"/>
      <c r="J19" s="4"/>
      <c r="K19" s="4"/>
      <c r="L19" s="32"/>
    </row>
    <row x14ac:dyDescent="0.25" r="20" customHeight="1" ht="18.75">
      <c r="A20" s="4" t="s">
        <v>117</v>
      </c>
      <c r="B20" s="8">
        <v>1</v>
      </c>
      <c r="C20" s="8">
        <v>2</v>
      </c>
      <c r="D20" s="8">
        <f> B20+C20</f>
      </c>
      <c r="E20" s="4" t="s">
        <v>101</v>
      </c>
      <c r="F20" s="4" t="s">
        <v>97</v>
      </c>
      <c r="G20" s="4" t="s">
        <v>97</v>
      </c>
      <c r="H20" s="4" t="s">
        <v>97</v>
      </c>
      <c r="I20" s="4"/>
      <c r="J20" s="4"/>
      <c r="K20" s="4"/>
      <c r="L20" s="32"/>
    </row>
    <row x14ac:dyDescent="0.25" r="21" customHeight="1" ht="18.75">
      <c r="A21" s="4" t="s">
        <v>118</v>
      </c>
      <c r="B21" s="8">
        <v>1</v>
      </c>
      <c r="C21" s="8">
        <v>2</v>
      </c>
      <c r="D21" s="8">
        <f> B21+C21</f>
      </c>
      <c r="E21" s="4" t="s">
        <v>97</v>
      </c>
      <c r="F21" s="4" t="s">
        <v>97</v>
      </c>
      <c r="G21" s="4" t="s">
        <v>97</v>
      </c>
      <c r="H21" s="4" t="s">
        <v>97</v>
      </c>
      <c r="I21" s="4"/>
      <c r="J21" s="4"/>
      <c r="K21" s="4"/>
      <c r="L21" s="32"/>
    </row>
    <row x14ac:dyDescent="0.25" r="22" customHeight="1" ht="18.75">
      <c r="A22" s="4" t="s">
        <v>119</v>
      </c>
      <c r="B22" s="8">
        <v>2</v>
      </c>
      <c r="C22" s="8">
        <v>3</v>
      </c>
      <c r="D22" s="8">
        <f> B22+C22</f>
      </c>
      <c r="E22" s="4" t="s">
        <v>97</v>
      </c>
      <c r="F22" s="4" t="s">
        <v>101</v>
      </c>
      <c r="G22" s="4" t="s">
        <v>97</v>
      </c>
      <c r="H22" s="4" t="s">
        <v>101</v>
      </c>
      <c r="I22" s="4"/>
      <c r="J22" s="4"/>
      <c r="K22" s="4"/>
      <c r="L22" s="32"/>
    </row>
    <row x14ac:dyDescent="0.25" r="23" customHeight="1" ht="18.75">
      <c r="A23" s="4" t="s">
        <v>120</v>
      </c>
      <c r="B23" s="8">
        <v>1</v>
      </c>
      <c r="C23" s="8">
        <v>2</v>
      </c>
      <c r="D23" s="8">
        <f> B23+C23</f>
      </c>
      <c r="E23" s="4" t="s">
        <v>97</v>
      </c>
      <c r="F23" s="4" t="s">
        <v>101</v>
      </c>
      <c r="G23" s="4" t="s">
        <v>97</v>
      </c>
      <c r="H23" s="4" t="s">
        <v>97</v>
      </c>
      <c r="I23" s="4"/>
      <c r="J23" s="4"/>
      <c r="K23" s="4"/>
      <c r="L23" s="32"/>
    </row>
    <row x14ac:dyDescent="0.25" r="24" customHeight="1" ht="18.75">
      <c r="A24" s="4" t="s">
        <v>121</v>
      </c>
      <c r="B24" s="8">
        <v>1</v>
      </c>
      <c r="C24" s="8">
        <v>2</v>
      </c>
      <c r="D24" s="8">
        <f> B24+C24</f>
      </c>
      <c r="E24" s="4" t="s">
        <v>97</v>
      </c>
      <c r="F24" s="4" t="s">
        <v>97</v>
      </c>
      <c r="G24" s="4" t="s">
        <v>101</v>
      </c>
      <c r="H24" s="4" t="s">
        <v>97</v>
      </c>
      <c r="I24" s="4"/>
      <c r="J24" s="4"/>
      <c r="K24" s="4"/>
      <c r="L24" s="32"/>
    </row>
    <row x14ac:dyDescent="0.25" r="25" customHeight="1" ht="18.75">
      <c r="A25" s="4" t="s">
        <v>122</v>
      </c>
      <c r="B25" s="8">
        <v>1</v>
      </c>
      <c r="C25" s="8">
        <v>1</v>
      </c>
      <c r="D25" s="8">
        <f> B25+C25</f>
      </c>
      <c r="E25" s="4" t="s">
        <v>97</v>
      </c>
      <c r="F25" s="4" t="s">
        <v>97</v>
      </c>
      <c r="G25" s="4" t="s">
        <v>97</v>
      </c>
      <c r="H25" s="4" t="s">
        <v>97</v>
      </c>
      <c r="I25" s="4"/>
      <c r="J25" s="4"/>
      <c r="K25" s="4"/>
      <c r="L25" s="32"/>
    </row>
    <row x14ac:dyDescent="0.25" r="26" customHeight="1" ht="18.75">
      <c r="A26" s="4" t="s">
        <v>123</v>
      </c>
      <c r="B26" s="8">
        <v>1</v>
      </c>
      <c r="C26" s="8">
        <v>2</v>
      </c>
      <c r="D26" s="8">
        <f> B26+C26</f>
      </c>
      <c r="E26" s="4" t="s">
        <v>97</v>
      </c>
      <c r="F26" s="4" t="s">
        <v>97</v>
      </c>
      <c r="G26" s="4" t="s">
        <v>97</v>
      </c>
      <c r="H26" s="4" t="s">
        <v>97</v>
      </c>
      <c r="I26" s="4"/>
      <c r="J26" s="4"/>
      <c r="K26" s="4"/>
      <c r="L26" s="32"/>
    </row>
    <row x14ac:dyDescent="0.25" r="27" customHeight="1" ht="18.75">
      <c r="A27" s="4" t="s">
        <v>124</v>
      </c>
      <c r="B27" s="8">
        <v>1</v>
      </c>
      <c r="C27" s="8">
        <v>2</v>
      </c>
      <c r="D27" s="8">
        <f> B27+C27</f>
      </c>
      <c r="E27" s="4" t="s">
        <v>101</v>
      </c>
      <c r="F27" s="4" t="s">
        <v>97</v>
      </c>
      <c r="G27" s="4" t="s">
        <v>97</v>
      </c>
      <c r="H27" s="4" t="s">
        <v>97</v>
      </c>
      <c r="I27" s="4"/>
      <c r="J27" s="4"/>
      <c r="K27" s="4"/>
      <c r="L27" s="32"/>
    </row>
    <row x14ac:dyDescent="0.25" r="28" customHeight="1" ht="18.75">
      <c r="A28" s="4" t="s">
        <v>125</v>
      </c>
      <c r="B28" s="8">
        <v>1</v>
      </c>
      <c r="C28" s="8">
        <v>2</v>
      </c>
      <c r="D28" s="8">
        <f> B28+C28</f>
      </c>
      <c r="E28" s="4" t="s">
        <v>97</v>
      </c>
      <c r="F28" s="4" t="s">
        <v>97</v>
      </c>
      <c r="G28" s="4" t="s">
        <v>97</v>
      </c>
      <c r="H28" s="4" t="s">
        <v>97</v>
      </c>
      <c r="I28" s="4"/>
      <c r="J28" s="4"/>
      <c r="K28" s="4"/>
      <c r="L28" s="32"/>
    </row>
    <row x14ac:dyDescent="0.25" r="29" customHeight="1" ht="18.75">
      <c r="A29" s="4" t="s">
        <v>126</v>
      </c>
      <c r="B29" s="8">
        <v>1</v>
      </c>
      <c r="C29" s="8">
        <v>2</v>
      </c>
      <c r="D29" s="8">
        <f> B29+C29</f>
      </c>
      <c r="E29" s="4" t="s">
        <v>97</v>
      </c>
      <c r="F29" s="4" t="s">
        <v>97</v>
      </c>
      <c r="G29" s="4" t="s">
        <v>97</v>
      </c>
      <c r="H29" s="4" t="s">
        <v>97</v>
      </c>
      <c r="I29" s="4"/>
      <c r="J29" s="4"/>
      <c r="K29" s="4"/>
      <c r="L29" s="32"/>
    </row>
    <row x14ac:dyDescent="0.25" r="30" customHeight="1" ht="18.75">
      <c r="A30" s="4" t="s">
        <v>127</v>
      </c>
      <c r="B30" s="8">
        <v>1</v>
      </c>
      <c r="C30" s="8">
        <v>1</v>
      </c>
      <c r="D30" s="8">
        <f> B30+C30</f>
      </c>
      <c r="E30" s="4" t="s">
        <v>97</v>
      </c>
      <c r="F30" s="4" t="s">
        <v>97</v>
      </c>
      <c r="G30" s="4" t="s">
        <v>97</v>
      </c>
      <c r="H30" s="4" t="s">
        <v>97</v>
      </c>
      <c r="I30" s="4"/>
      <c r="J30" s="4"/>
      <c r="K30" s="4"/>
      <c r="L30" s="32"/>
    </row>
    <row x14ac:dyDescent="0.25" r="31" customHeight="1" ht="18.75">
      <c r="A31" s="4" t="s">
        <v>128</v>
      </c>
      <c r="B31" s="8">
        <v>1</v>
      </c>
      <c r="C31" s="8">
        <v>2</v>
      </c>
      <c r="D31" s="8">
        <f> B31+C31</f>
      </c>
      <c r="E31" s="4" t="s">
        <v>101</v>
      </c>
      <c r="F31" s="4" t="s">
        <v>97</v>
      </c>
      <c r="G31" s="4" t="s">
        <v>97</v>
      </c>
      <c r="H31" s="4" t="s">
        <v>97</v>
      </c>
      <c r="I31" s="4"/>
      <c r="J31" s="4"/>
      <c r="K31" s="4"/>
      <c r="L31" s="32"/>
    </row>
    <row x14ac:dyDescent="0.25" r="32" customHeight="1" ht="18.75">
      <c r="A32" s="4" t="s">
        <v>129</v>
      </c>
      <c r="B32" s="8">
        <v>1</v>
      </c>
      <c r="C32" s="8">
        <v>2</v>
      </c>
      <c r="D32" s="8">
        <f> B32+C32</f>
      </c>
      <c r="E32" s="4" t="s">
        <v>97</v>
      </c>
      <c r="F32" s="4" t="s">
        <v>97</v>
      </c>
      <c r="G32" s="4" t="s">
        <v>97</v>
      </c>
      <c r="H32" s="4" t="s">
        <v>97</v>
      </c>
      <c r="I32" s="4"/>
      <c r="J32" s="4"/>
      <c r="K32" s="4"/>
      <c r="L32" s="32"/>
    </row>
  </sheetData>
  <mergeCells count="3">
    <mergeCell ref="B1:D1"/>
    <mergeCell ref="E1:H1"/>
    <mergeCell ref="K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1"/>
  <sheetViews>
    <sheetView workbookViewId="0" tabSelected="1"/>
  </sheetViews>
  <sheetFormatPr defaultRowHeight="15" x14ac:dyDescent="0.25"/>
  <cols>
    <col min="1" max="1" style="25" width="13.576428571428572" customWidth="1" bestFit="1"/>
    <col min="2" max="2" style="25" width="10.43357142857143" customWidth="1" bestFit="1"/>
    <col min="3" max="3" style="26" width="7.005" customWidth="1" bestFit="1"/>
    <col min="4" max="4" style="25" width="13.005" customWidth="1" bestFit="1"/>
    <col min="5" max="5" style="25" width="17.433571428571426" customWidth="1" bestFit="1"/>
    <col min="6" max="6" style="25" width="16.576428571428572" customWidth="1" bestFit="1"/>
    <col min="7" max="7" style="27" width="14.576428571428572" customWidth="1" bestFit="1"/>
    <col min="8" max="8" style="27" width="16.290714285714284" customWidth="1" bestFit="1"/>
    <col min="9" max="9" style="27" width="14.005" customWidth="1" bestFit="1"/>
    <col min="10" max="10" style="25" width="9.576428571428572" customWidth="1" bestFit="1"/>
    <col min="11" max="11" style="25" width="6.2907142857142855" customWidth="1" bestFit="1"/>
    <col min="12" max="12" style="25" width="6.576428571428571" customWidth="1" bestFit="1"/>
    <col min="13" max="13" style="28" width="15.862142857142858" customWidth="1" bestFit="1"/>
    <col min="14" max="14" style="28" width="26.86214285714285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5"/>
      <c r="N1" s="5"/>
    </row>
    <row x14ac:dyDescent="0.25" r="2" customHeight="1" ht="18.75">
      <c r="A2" s="4" t="s">
        <v>10</v>
      </c>
      <c r="B2" s="4" t="s">
        <v>11</v>
      </c>
      <c r="C2" s="6" t="s">
        <v>12</v>
      </c>
      <c r="D2" s="7">
        <f>Farmers!D2</f>
      </c>
      <c r="E2" s="4" t="s">
        <v>13</v>
      </c>
      <c r="F2" s="4" t="s">
        <v>14</v>
      </c>
      <c r="G2" s="8">
        <v>115</v>
      </c>
      <c r="H2" s="8">
        <v>50</v>
      </c>
      <c r="I2" s="8">
        <v>127</v>
      </c>
      <c r="J2" s="9">
        <f>Farmers!F2</f>
      </c>
      <c r="K2" s="4"/>
      <c r="L2" s="4"/>
      <c r="M2" s="5"/>
      <c r="N2" s="5"/>
    </row>
    <row x14ac:dyDescent="0.25" r="3" customHeight="1" ht="18.75">
      <c r="A3" s="4" t="s">
        <v>15</v>
      </c>
      <c r="B3" s="4" t="s">
        <v>16</v>
      </c>
      <c r="C3" s="10"/>
      <c r="D3" s="7">
        <f>Farmers!D3</f>
      </c>
      <c r="E3" s="4" t="s">
        <v>17</v>
      </c>
      <c r="F3" s="4" t="s">
        <v>18</v>
      </c>
      <c r="G3" s="8">
        <v>130</v>
      </c>
      <c r="H3" s="8">
        <v>55</v>
      </c>
      <c r="I3" s="8">
        <v>118</v>
      </c>
      <c r="J3" s="9">
        <f>Farmers!F3</f>
      </c>
      <c r="K3" s="4"/>
      <c r="L3" s="4"/>
      <c r="M3" s="5"/>
      <c r="N3" s="5"/>
    </row>
    <row x14ac:dyDescent="0.25" r="4" customHeight="1" ht="18.75">
      <c r="A4" s="4" t="s">
        <v>19</v>
      </c>
      <c r="B4" s="4" t="s">
        <v>20</v>
      </c>
      <c r="C4" s="10"/>
      <c r="D4" s="7">
        <f>Farmers!D4</f>
      </c>
      <c r="E4" s="4" t="s">
        <v>17</v>
      </c>
      <c r="F4" s="4" t="s">
        <v>21</v>
      </c>
      <c r="G4" s="8">
        <v>110</v>
      </c>
      <c r="H4" s="8">
        <v>40</v>
      </c>
      <c r="I4" s="8">
        <v>115</v>
      </c>
      <c r="J4" s="9">
        <f>Farmers!F4</f>
      </c>
      <c r="K4" s="4"/>
      <c r="L4" s="4"/>
      <c r="M4" s="5"/>
      <c r="N4" s="5"/>
    </row>
    <row x14ac:dyDescent="0.25" r="5" customHeight="1" ht="18.75">
      <c r="A5" s="4" t="s">
        <v>22</v>
      </c>
      <c r="B5" s="4" t="s">
        <v>23</v>
      </c>
      <c r="C5" s="10"/>
      <c r="D5" s="7">
        <f>Farmers!D5</f>
      </c>
      <c r="E5" s="4" t="s">
        <v>21</v>
      </c>
      <c r="F5" s="4" t="s">
        <v>24</v>
      </c>
      <c r="G5" s="8">
        <v>135</v>
      </c>
      <c r="H5" s="8">
        <v>70</v>
      </c>
      <c r="I5" s="8">
        <v>112</v>
      </c>
      <c r="J5" s="9">
        <f>Farmers!F5</f>
      </c>
      <c r="K5" s="4"/>
      <c r="L5" s="4"/>
      <c r="M5" s="5"/>
      <c r="N5" s="5"/>
    </row>
    <row x14ac:dyDescent="0.25" r="6" customHeight="1" ht="18.75">
      <c r="A6" s="11" t="s">
        <v>25</v>
      </c>
      <c r="B6" s="11" t="s">
        <v>26</v>
      </c>
      <c r="C6" s="12"/>
      <c r="D6" s="13">
        <f>Farmers!D6</f>
      </c>
      <c r="E6" s="11" t="s">
        <v>27</v>
      </c>
      <c r="F6" s="11" t="s">
        <v>28</v>
      </c>
      <c r="G6" s="14">
        <v>140</v>
      </c>
      <c r="H6" s="14">
        <v>40</v>
      </c>
      <c r="I6" s="14">
        <v>107</v>
      </c>
      <c r="J6" s="15">
        <f>Farmers!F6</f>
      </c>
      <c r="K6" s="4"/>
      <c r="L6" s="4"/>
      <c r="M6" s="5"/>
      <c r="N6" s="5"/>
    </row>
    <row x14ac:dyDescent="0.25" r="7" customHeight="1" ht="19.5">
      <c r="A7" s="16" t="s">
        <v>29</v>
      </c>
      <c r="B7" s="16" t="s">
        <v>30</v>
      </c>
      <c r="C7" s="17" t="s">
        <v>31</v>
      </c>
      <c r="D7" s="18">
        <f>Farmers!D7</f>
      </c>
      <c r="E7" s="16" t="s">
        <v>32</v>
      </c>
      <c r="F7" s="16" t="s">
        <v>33</v>
      </c>
      <c r="G7" s="19">
        <v>120</v>
      </c>
      <c r="H7" s="19">
        <v>65</v>
      </c>
      <c r="I7" s="19">
        <v>99</v>
      </c>
      <c r="J7" s="20">
        <f>Farmers!F7</f>
      </c>
      <c r="K7" s="4"/>
      <c r="L7" s="4"/>
      <c r="M7" s="5"/>
      <c r="N7" s="5"/>
    </row>
    <row x14ac:dyDescent="0.25" r="8" customHeight="1" ht="18.75">
      <c r="A8" s="4" t="s">
        <v>34</v>
      </c>
      <c r="B8" s="4" t="s">
        <v>35</v>
      </c>
      <c r="C8" s="10"/>
      <c r="D8" s="7">
        <f>Farmers!D8</f>
      </c>
      <c r="E8" s="4" t="s">
        <v>36</v>
      </c>
      <c r="F8" s="4" t="s">
        <v>33</v>
      </c>
      <c r="G8" s="8">
        <v>130</v>
      </c>
      <c r="H8" s="8">
        <v>50</v>
      </c>
      <c r="I8" s="8">
        <v>100</v>
      </c>
      <c r="J8" s="9">
        <f>Farmers!F8</f>
      </c>
      <c r="K8" s="4"/>
      <c r="L8" s="4"/>
      <c r="M8" s="5"/>
      <c r="N8" s="5"/>
    </row>
    <row x14ac:dyDescent="0.25" r="9" customHeight="1" ht="18.75">
      <c r="A9" s="4" t="s">
        <v>37</v>
      </c>
      <c r="B9" s="4" t="s">
        <v>38</v>
      </c>
      <c r="C9" s="10"/>
      <c r="D9" s="7">
        <f>Farmers!D9</f>
      </c>
      <c r="E9" s="4" t="s">
        <v>39</v>
      </c>
      <c r="F9" s="4" t="s">
        <v>40</v>
      </c>
      <c r="G9" s="8">
        <v>125</v>
      </c>
      <c r="H9" s="8">
        <v>55</v>
      </c>
      <c r="I9" s="8">
        <v>104</v>
      </c>
      <c r="J9" s="9">
        <f>Farmers!F9</f>
      </c>
      <c r="K9" s="4"/>
      <c r="L9" s="1" t="s">
        <v>2</v>
      </c>
      <c r="M9" s="21" t="s">
        <v>41</v>
      </c>
      <c r="N9" s="21" t="s">
        <v>42</v>
      </c>
    </row>
    <row x14ac:dyDescent="0.25" r="10" customHeight="1" ht="19.5">
      <c r="A10" s="4" t="s">
        <v>43</v>
      </c>
      <c r="B10" s="4" t="s">
        <v>44</v>
      </c>
      <c r="C10" s="10"/>
      <c r="D10" s="7">
        <f>Farmers!D10</f>
      </c>
      <c r="E10" s="4" t="s">
        <v>39</v>
      </c>
      <c r="F10" s="4" t="s">
        <v>28</v>
      </c>
      <c r="G10" s="8">
        <v>123</v>
      </c>
      <c r="H10" s="8">
        <v>60</v>
      </c>
      <c r="I10" s="8">
        <v>111</v>
      </c>
      <c r="J10" s="9">
        <f>Farmers!F10</f>
      </c>
      <c r="K10" s="4"/>
      <c r="L10" s="16" t="s">
        <v>45</v>
      </c>
      <c r="M10" s="22">
        <v>126.1</v>
      </c>
      <c r="N10" s="22">
        <v>5.8</v>
      </c>
    </row>
    <row x14ac:dyDescent="0.25" r="11" customHeight="1" ht="18.75">
      <c r="A11" s="11" t="s">
        <v>46</v>
      </c>
      <c r="B11" s="11" t="s">
        <v>47</v>
      </c>
      <c r="C11" s="12"/>
      <c r="D11" s="13">
        <f>Farmers!D11</f>
      </c>
      <c r="E11" s="11" t="s">
        <v>48</v>
      </c>
      <c r="F11" s="11" t="s">
        <v>28</v>
      </c>
      <c r="G11" s="14">
        <v>132</v>
      </c>
      <c r="H11" s="14">
        <v>45</v>
      </c>
      <c r="I11" s="14">
        <v>112</v>
      </c>
      <c r="J11" s="15">
        <f>Farmers!F11</f>
      </c>
      <c r="K11" s="4"/>
      <c r="L11" s="4" t="s">
        <v>49</v>
      </c>
      <c r="M11" s="23">
        <v>126.12</v>
      </c>
      <c r="N11" s="23">
        <v>6.6</v>
      </c>
    </row>
    <row x14ac:dyDescent="0.25" r="12" customHeight="1" ht="19.5">
      <c r="A12" s="16" t="s">
        <v>50</v>
      </c>
      <c r="B12" s="16" t="s">
        <v>51</v>
      </c>
      <c r="C12" s="17" t="s">
        <v>52</v>
      </c>
      <c r="D12" s="18">
        <f>Farmers!D12</f>
      </c>
      <c r="E12" s="16" t="s">
        <v>53</v>
      </c>
      <c r="F12" s="16" t="s">
        <v>54</v>
      </c>
      <c r="G12" s="19">
        <v>115</v>
      </c>
      <c r="H12" s="19">
        <v>40</v>
      </c>
      <c r="I12" s="19">
        <v>97</v>
      </c>
      <c r="J12" s="20">
        <f>Farmers!F12</f>
      </c>
      <c r="K12" s="4"/>
      <c r="L12" s="4" t="s">
        <v>55</v>
      </c>
      <c r="M12" s="23">
        <v>120.6</v>
      </c>
      <c r="N12" s="23">
        <v>5.6</v>
      </c>
    </row>
    <row x14ac:dyDescent="0.25" r="13" customHeight="1" ht="18.75">
      <c r="A13" s="4" t="s">
        <v>56</v>
      </c>
      <c r="B13" s="4" t="s">
        <v>57</v>
      </c>
      <c r="C13" s="10"/>
      <c r="D13" s="7">
        <f>Farmers!D13</f>
      </c>
      <c r="E13" s="4" t="s">
        <v>58</v>
      </c>
      <c r="F13" s="4" t="s">
        <v>36</v>
      </c>
      <c r="G13" s="8">
        <v>125</v>
      </c>
      <c r="H13" s="8">
        <v>50</v>
      </c>
      <c r="I13" s="8">
        <v>110</v>
      </c>
      <c r="J13" s="9">
        <f>Farmers!F13</f>
      </c>
      <c r="K13" s="4"/>
      <c r="L13" s="11" t="s">
        <v>59</v>
      </c>
      <c r="M13" s="24">
        <v>119.3</v>
      </c>
      <c r="N13" s="24">
        <v>7.8</v>
      </c>
    </row>
    <row x14ac:dyDescent="0.25" r="14" customHeight="1" ht="18.75">
      <c r="A14" s="4" t="s">
        <v>60</v>
      </c>
      <c r="B14" s="4" t="s">
        <v>61</v>
      </c>
      <c r="C14" s="10"/>
      <c r="D14" s="7">
        <f>Farmers!D14</f>
      </c>
      <c r="E14" s="4" t="s">
        <v>62</v>
      </c>
      <c r="F14" s="4" t="s">
        <v>63</v>
      </c>
      <c r="G14" s="8">
        <v>123</v>
      </c>
      <c r="H14" s="8">
        <v>75</v>
      </c>
      <c r="I14" s="8">
        <v>112</v>
      </c>
      <c r="J14" s="9">
        <f>Farmers!F14</f>
      </c>
      <c r="K14" s="4"/>
      <c r="L14" s="4"/>
      <c r="M14" s="5"/>
      <c r="N14" s="5"/>
    </row>
    <row x14ac:dyDescent="0.25" r="15" customHeight="1" ht="18.75">
      <c r="A15" s="4" t="s">
        <v>64</v>
      </c>
      <c r="B15" s="4" t="s">
        <v>65</v>
      </c>
      <c r="C15" s="10"/>
      <c r="D15" s="7">
        <f>Farmers!D15</f>
      </c>
      <c r="E15" s="4" t="s">
        <v>66</v>
      </c>
      <c r="F15" s="4" t="s">
        <v>67</v>
      </c>
      <c r="G15" s="8">
        <v>115</v>
      </c>
      <c r="H15" s="8">
        <v>80</v>
      </c>
      <c r="I15" s="8">
        <v>111</v>
      </c>
      <c r="J15" s="9">
        <f>Farmers!F15</f>
      </c>
      <c r="K15" s="4"/>
      <c r="L15" s="4"/>
      <c r="M15" s="5"/>
      <c r="N15" s="5"/>
    </row>
    <row x14ac:dyDescent="0.25" r="16" customHeight="1" ht="18.75">
      <c r="A16" s="11" t="s">
        <v>68</v>
      </c>
      <c r="B16" s="11" t="s">
        <v>69</v>
      </c>
      <c r="C16" s="12"/>
      <c r="D16" s="13">
        <f>Farmers!D16</f>
      </c>
      <c r="E16" s="11" t="s">
        <v>70</v>
      </c>
      <c r="F16" s="11" t="s">
        <v>71</v>
      </c>
      <c r="G16" s="14">
        <v>125</v>
      </c>
      <c r="H16" s="14">
        <v>45</v>
      </c>
      <c r="I16" s="14">
        <v>7</v>
      </c>
      <c r="J16" s="15">
        <f>Farmers!F16</f>
      </c>
      <c r="K16" s="4"/>
      <c r="L16" s="4"/>
      <c r="M16" s="5"/>
      <c r="N16" s="5"/>
    </row>
    <row x14ac:dyDescent="0.25" r="17" customHeight="1" ht="19.5">
      <c r="A17" s="16" t="s">
        <v>72</v>
      </c>
      <c r="B17" s="16" t="s">
        <v>73</v>
      </c>
      <c r="C17" s="17" t="s">
        <v>74</v>
      </c>
      <c r="D17" s="18">
        <f>Farmers!D17</f>
      </c>
      <c r="E17" s="16" t="s">
        <v>39</v>
      </c>
      <c r="F17" s="16" t="s">
        <v>75</v>
      </c>
      <c r="G17" s="19">
        <v>110</v>
      </c>
      <c r="H17" s="19">
        <v>70</v>
      </c>
      <c r="I17" s="19">
        <v>8</v>
      </c>
      <c r="J17" s="20">
        <f>Farmers!F17</f>
      </c>
      <c r="K17" s="4"/>
      <c r="L17" s="4"/>
      <c r="M17" s="5"/>
      <c r="N17" s="5"/>
    </row>
    <row x14ac:dyDescent="0.25" r="18" customHeight="1" ht="18.75">
      <c r="A18" s="4" t="s">
        <v>76</v>
      </c>
      <c r="B18" s="4" t="s">
        <v>77</v>
      </c>
      <c r="C18" s="10"/>
      <c r="D18" s="7">
        <f>Farmers!D18</f>
      </c>
      <c r="E18" s="4" t="s">
        <v>48</v>
      </c>
      <c r="F18" s="4" t="s">
        <v>78</v>
      </c>
      <c r="G18" s="8">
        <v>120</v>
      </c>
      <c r="H18" s="8">
        <v>50</v>
      </c>
      <c r="I18" s="8">
        <v>7</v>
      </c>
      <c r="J18" s="9">
        <f>Farmers!F18</f>
      </c>
      <c r="K18" s="4"/>
      <c r="L18" s="4"/>
      <c r="M18" s="5"/>
      <c r="N18" s="5"/>
    </row>
    <row x14ac:dyDescent="0.25" r="19" customHeight="1" ht="18.75">
      <c r="A19" s="4" t="s">
        <v>79</v>
      </c>
      <c r="B19" s="4" t="s">
        <v>80</v>
      </c>
      <c r="C19" s="10"/>
      <c r="D19" s="7">
        <f>Farmers!D19</f>
      </c>
      <c r="E19" s="4" t="s">
        <v>21</v>
      </c>
      <c r="F19" s="4" t="s">
        <v>81</v>
      </c>
      <c r="G19" s="8">
        <v>105</v>
      </c>
      <c r="H19" s="8">
        <v>40</v>
      </c>
      <c r="I19" s="8">
        <v>8</v>
      </c>
      <c r="J19" s="9">
        <f>Farmers!F19</f>
      </c>
      <c r="K19" s="4"/>
      <c r="L19" s="4"/>
      <c r="M19" s="5"/>
      <c r="N19" s="5"/>
    </row>
    <row x14ac:dyDescent="0.25" r="20" customHeight="1" ht="18.75">
      <c r="A20" s="4" t="s">
        <v>82</v>
      </c>
      <c r="B20" s="4" t="s">
        <v>83</v>
      </c>
      <c r="C20" s="10"/>
      <c r="D20" s="7">
        <f>Farmers!D20</f>
      </c>
      <c r="E20" s="4" t="s">
        <v>84</v>
      </c>
      <c r="F20" s="4" t="s">
        <v>85</v>
      </c>
      <c r="G20" s="8">
        <v>130</v>
      </c>
      <c r="H20" s="8">
        <v>45</v>
      </c>
      <c r="I20" s="8">
        <v>7</v>
      </c>
      <c r="J20" s="9">
        <f>Farmers!F20</f>
      </c>
      <c r="K20" s="4"/>
      <c r="L20" s="4"/>
      <c r="M20" s="5"/>
      <c r="N20" s="5"/>
    </row>
    <row x14ac:dyDescent="0.25" r="21" customHeight="1" ht="18.75">
      <c r="A21" s="11" t="s">
        <v>86</v>
      </c>
      <c r="B21" s="11" t="s">
        <v>87</v>
      </c>
      <c r="C21" s="12"/>
      <c r="D21" s="13">
        <f>Farmers!D21</f>
      </c>
      <c r="E21" s="11" t="s">
        <v>88</v>
      </c>
      <c r="F21" s="11" t="s">
        <v>89</v>
      </c>
      <c r="G21" s="14">
        <v>130</v>
      </c>
      <c r="H21" s="14">
        <v>65</v>
      </c>
      <c r="I21" s="14">
        <v>9</v>
      </c>
      <c r="J21" s="15">
        <f>Farmers!F21</f>
      </c>
      <c r="K21" s="4"/>
      <c r="L21" s="4"/>
      <c r="M21" s="5"/>
      <c r="N21" s="5"/>
    </row>
  </sheetData>
  <mergeCells count="4">
    <mergeCell ref="C2:C6"/>
    <mergeCell ref="C7:C11"/>
    <mergeCell ref="C12:C16"/>
    <mergeCell ref="C17:C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Farmers</vt:lpstr>
      <vt:lpstr>Docks</vt:lpstr>
      <vt:lpstr>Event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2025-12-14T17:36:18.619Z</dcterms:created>
  <dcterms:modified xsi:type="dcterms:W3CDTF">2025-12-14T17:36:18.619Z</dcterms:modified>
</cp:coreProperties>
</file>